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adc79da8212a75/Documents/DATA_Labs/Capstone_1/"/>
    </mc:Choice>
  </mc:AlternateContent>
  <xr:revisionPtr revIDLastSave="0" documentId="8_{FFF06E99-5E41-4BEC-B25A-F9B48ED79199}" xr6:coauthVersionLast="47" xr6:coauthVersionMax="47" xr10:uidLastSave="{00000000-0000-0000-0000-000000000000}"/>
  <bookViews>
    <workbookView xWindow="-28920" yWindow="-3195" windowWidth="29040" windowHeight="15720" xr2:uid="{75A7013D-027F-4AA7-8E10-6DF8155176E0}"/>
  </bookViews>
  <sheets>
    <sheet name="Q5. Top Products by Trans Count" sheetId="1" r:id="rId1"/>
    <sheet name="Q7. Top Revenue by Vendor" sheetId="2" r:id="rId2"/>
    <sheet name="Q13. Total sales by county" sheetId="3" r:id="rId3"/>
    <sheet name="Q14. Revenue by pack size" sheetId="4" r:id="rId4"/>
    <sheet name="Q6 - Best vs Worst" sheetId="5" r:id="rId5"/>
    <sheet name="Q8 (Stores Over $2K) (2)" sheetId="7" r:id="rId6"/>
    <sheet name="Revenue vs Population" sheetId="6" r:id="rId7"/>
  </sheets>
  <externalReferences>
    <externalReference r:id="rId8"/>
    <externalReference r:id="rId9"/>
  </externalReferences>
  <definedNames>
    <definedName name="ExternalData_1" localSheetId="1" hidden="1">'Q7. Top Revenue by Vendor'!$A$1:$B$11</definedName>
    <definedName name="ExternalData_1" localSheetId="5" hidden="1">'Q8 (Stores Over $2K) (2)'!$D$1:$E$1293</definedName>
    <definedName name="ExternalData_1" localSheetId="5" hidden="1">'Q8 (Stores Over $2K) (2)'!$D$1:$E$1293</definedName>
  </definedNames>
  <calcPr calcId="0"/>
</workbook>
</file>

<file path=xl/calcChain.xml><?xml version="1.0" encoding="utf-8"?>
<calcChain xmlns="http://schemas.openxmlformats.org/spreadsheetml/2006/main">
  <c r="B2" i="7" l="1"/>
  <c r="B3" i="7"/>
  <c r="B4" i="7"/>
  <c r="B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606892-B4E4-4B95-B7F1-DD4B7FBB3900}" keepAlive="1" name="Query - Q7 (Vendor Revenue Ranking)" description="Connection to the 'Q7 (Vendor Revenue Ranking)' query in the workbook." type="5" refreshedVersion="8" background="1" saveData="1">
    <dbPr connection="Provider=Microsoft.Mashup.OleDb.1;Data Source=$Workbook$;Location=&quot;Q7 (Vendor Revenue Ranking)&quot;;Extended Properties=&quot;&quot;" command="SELECT * FROM [Q7 (Vendor Revenue Ranking)]"/>
  </connection>
  <connection id="2" xr16:uid="{F6BCD297-C531-4835-9056-25E88F701A3F}" keepAlive="1" name="Query - Q8 (Stores Over $2K) (2)" description="Connection to the 'Q8 (Stores Over $2K) (2)' query in the workbook." type="5" refreshedVersion="8" background="1" saveData="1">
    <dbPr connection="Provider=Microsoft.Mashup.OleDb.1;Data Source=$Workbook$;Location=&quot;Q8 (Stores Over $2K) (2)&quot;;Extended Properties=&quot;&quot;" command="SELECT * FROM [Q8 (Stores Over $2K) (2)]"/>
  </connection>
</connections>
</file>

<file path=xl/sharedStrings.xml><?xml version="1.0" encoding="utf-8"?>
<sst xmlns="http://schemas.openxmlformats.org/spreadsheetml/2006/main" count="74" uniqueCount="60">
  <si>
    <t>description</t>
  </si>
  <si>
    <t>transaction_count</t>
  </si>
  <si>
    <t>Hawkeye Vodka</t>
  </si>
  <si>
    <t>Smirnoff Vodka 80 Prf</t>
  </si>
  <si>
    <t>Absolut Swedish Vodka 80 Prf</t>
  </si>
  <si>
    <t>Five O'clock</t>
  </si>
  <si>
    <t>Grey Goose Vodka</t>
  </si>
  <si>
    <t>Mccormick Vodka Pet</t>
  </si>
  <si>
    <t>Uv Blue (raspberry) Vodka</t>
  </si>
  <si>
    <t>Five O'clock Vodka</t>
  </si>
  <si>
    <t>Phillips Vodka</t>
  </si>
  <si>
    <t>Barton Vodka</t>
  </si>
  <si>
    <t>vendor</t>
  </si>
  <si>
    <t>total_sales_revenue</t>
  </si>
  <si>
    <t>Diageo Americas</t>
  </si>
  <si>
    <t>Phillips Beverage Company</t>
  </si>
  <si>
    <t>Pernod Ricard USA/Austin Nichols</t>
  </si>
  <si>
    <t>Luxco-St Louis</t>
  </si>
  <si>
    <t>Bacardi U.S.A. Inc.</t>
  </si>
  <si>
    <t>Sazerac North America</t>
  </si>
  <si>
    <t>Laird And Company</t>
  </si>
  <si>
    <t>Mccormick Distilling Company</t>
  </si>
  <si>
    <t>E AND J GALLO WINERY</t>
  </si>
  <si>
    <t>Fifth Generation Inc.</t>
  </si>
  <si>
    <t>county</t>
  </si>
  <si>
    <t>Polk</t>
  </si>
  <si>
    <t>Linn</t>
  </si>
  <si>
    <t>Scott</t>
  </si>
  <si>
    <t>Johnson</t>
  </si>
  <si>
    <t>Black Hawk</t>
  </si>
  <si>
    <t>Pottawattamie</t>
  </si>
  <si>
    <t>Dubuque</t>
  </si>
  <si>
    <t>Story</t>
  </si>
  <si>
    <t>Woodbury</t>
  </si>
  <si>
    <t>Dallas</t>
  </si>
  <si>
    <t xml:space="preserve">Pack </t>
  </si>
  <si>
    <t>Sales</t>
  </si>
  <si>
    <t>Pack 12</t>
  </si>
  <si>
    <t>Pack 6</t>
  </si>
  <si>
    <t>Pack 24</t>
  </si>
  <si>
    <t>Pack 48</t>
  </si>
  <si>
    <t>Pack 10</t>
  </si>
  <si>
    <t>Pack 4</t>
  </si>
  <si>
    <t>Pack 288</t>
  </si>
  <si>
    <t>Pack 1</t>
  </si>
  <si>
    <t>Pack 5</t>
  </si>
  <si>
    <t>Pack 3</t>
  </si>
  <si>
    <t>Pack 8</t>
  </si>
  <si>
    <t>Store</t>
  </si>
  <si>
    <t>Total Revenue</t>
  </si>
  <si>
    <t>Store 2633 (Best)</t>
  </si>
  <si>
    <t>Store 4460 (Worst)</t>
  </si>
  <si>
    <t>$100K+</t>
  </si>
  <si>
    <t>$50K - $100K</t>
  </si>
  <si>
    <t>$10k - $50K</t>
  </si>
  <si>
    <t>$2K -$10K</t>
  </si>
  <si>
    <t>store</t>
  </si>
  <si>
    <t>Number of Stores</t>
  </si>
  <si>
    <t>Revenue Tier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</si>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</sst>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0" xfId="0" applyFill="1" applyBorder="1"/>
    <xf numFmtId="0" fontId="0" fillId="0" borderId="10" xfId="0" applyBorder="1"/>
    <xf numFmtId="0" fontId="0" fillId="34" borderId="11" xfId="0" applyFill="1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Top Vodka products by transaction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009652794909754"/>
          <c:y val="0.11663522012578618"/>
          <c:w val="0.70829205599070766"/>
          <c:h val="0.81066582479076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'Q5. Top Products by Trans Count'!$B$1</c:f>
              <c:strCache>
                <c:ptCount val="1"/>
                <c:pt idx="0">
                  <c:v>transaction_count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'Q5. Top Products by Trans Count'!$A$2:$A$11</c:f>
              <c:strCache>
                <c:ptCount val="10"/>
                <c:pt idx="0">
                  <c:v>Hawkeye Vodka</c:v>
                </c:pt>
                <c:pt idx="1">
                  <c:v>Smirnoff Vodka 80 Prf</c:v>
                </c:pt>
                <c:pt idx="2">
                  <c:v>Absolut Swedish Vodka 80 Prf</c:v>
                </c:pt>
                <c:pt idx="3">
                  <c:v>Five O'clock</c:v>
                </c:pt>
                <c:pt idx="4">
                  <c:v>Grey Goose Vodka</c:v>
                </c:pt>
                <c:pt idx="5">
                  <c:v>Mccormick Vodka Pet</c:v>
                </c:pt>
                <c:pt idx="6">
                  <c:v>Uv Blue (raspberry) Vodka</c:v>
                </c:pt>
                <c:pt idx="7">
                  <c:v>Five O'clock Vodka</c:v>
                </c:pt>
                <c:pt idx="8">
                  <c:v>Phillips Vodka</c:v>
                </c:pt>
                <c:pt idx="9">
                  <c:v>Barton Vodka</c:v>
                </c:pt>
              </c:strCache>
            </c:strRef>
          </c:cat>
          <c:val>
            <c:numRef>
              <c:f>'Q5. Top Products by Trans Count'!$B$2:$B$11</c:f>
              <c:numCache>
                <c:formatCode>General</c:formatCode>
                <c:ptCount val="10"/>
                <c:pt idx="0">
                  <c:v>74264</c:v>
                </c:pt>
                <c:pt idx="1">
                  <c:v>36136</c:v>
                </c:pt>
                <c:pt idx="2">
                  <c:v>33138</c:v>
                </c:pt>
                <c:pt idx="3">
                  <c:v>31836</c:v>
                </c:pt>
                <c:pt idx="4">
                  <c:v>27845</c:v>
                </c:pt>
                <c:pt idx="5">
                  <c:v>25854</c:v>
                </c:pt>
                <c:pt idx="6">
                  <c:v>25417</c:v>
                </c:pt>
                <c:pt idx="7">
                  <c:v>21646</c:v>
                </c:pt>
                <c:pt idx="8">
                  <c:v>19576</c:v>
                </c:pt>
                <c:pt idx="9">
                  <c:v>18328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9-4E86-B961-9507D3EBA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830029263"/>
        <c:axId val="830025903"/>
      </c:barChart>
      <c:catAx>
        <c:axId val="83002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025903"/>
        <c:crosses val="autoZero"/>
        <c:auto val="1"/>
        <c:lblAlgn val="ctr"/>
        <c:lblOffset val="100"/>
        <c:noMultiLvlLbl val="0"/>
      </c:catAx>
      <c:valAx>
        <c:axId val="830025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0292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Total_sales_revenue by Vendor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'Q7. Top Revenue by Vendor'!$B$1</c:f>
              <c:strCache>
                <c:ptCount val="1"/>
                <c:pt idx="0">
                  <c:v>total_sales_revenue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'Q7. Top Revenue by Vendor'!$A$2:$A$11</c:f>
              <c:strCache>
                <c:ptCount val="10"/>
                <c:pt idx="0">
                  <c:v>Diageo Americas</c:v>
                </c:pt>
                <c:pt idx="1">
                  <c:v>Phillips Beverage Company</c:v>
                </c:pt>
                <c:pt idx="2">
                  <c:v>Pernod Ricard USA/Austin Nichols</c:v>
                </c:pt>
                <c:pt idx="3">
                  <c:v>Luxco-St Louis</c:v>
                </c:pt>
                <c:pt idx="4">
                  <c:v>Bacardi U.S.A. Inc.</c:v>
                </c:pt>
                <c:pt idx="5">
                  <c:v>Sazerac North America</c:v>
                </c:pt>
                <c:pt idx="6">
                  <c:v>Laird And Company</c:v>
                </c:pt>
                <c:pt idx="7">
                  <c:v>Mccormick Distilling Company</c:v>
                </c:pt>
                <c:pt idx="8">
                  <c:v>E AND J GALLO WINERY</c:v>
                </c:pt>
                <c:pt idx="9">
                  <c:v>Fifth Generation Inc.</c:v>
                </c:pt>
              </c:strCache>
            </c:strRef>
          </c:cat>
          <c:val>
            <c:numRef>
              <c:f>'Q7. Top Revenue by Vendor'!$B$2:$B$11</c:f>
              <c:numCache>
                <c:formatCode>General</c:formatCode>
                <c:ptCount val="10"/>
                <c:pt idx="0">
                  <c:v>19082595.370000001</c:v>
                </c:pt>
                <c:pt idx="1">
                  <c:v>11239874.619999999</c:v>
                </c:pt>
                <c:pt idx="2">
                  <c:v>10904201.68</c:v>
                </c:pt>
                <c:pt idx="3">
                  <c:v>8713488.8100000005</c:v>
                </c:pt>
                <c:pt idx="4">
                  <c:v>6006840.3700000001</c:v>
                </c:pt>
                <c:pt idx="5">
                  <c:v>5509214.8300000001</c:v>
                </c:pt>
                <c:pt idx="6">
                  <c:v>5259400.47</c:v>
                </c:pt>
                <c:pt idx="7">
                  <c:v>3669540.11</c:v>
                </c:pt>
                <c:pt idx="8">
                  <c:v>3444053.09</c:v>
                </c:pt>
                <c:pt idx="9">
                  <c:v>3324512.66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3-4C64-AB7D-07D686FDA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048678303"/>
        <c:axId val="1048667263"/>
      </c:barChart>
      <c:catAx>
        <c:axId val="104867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67263"/>
        <c:crosses val="autoZero"/>
        <c:auto val="1"/>
        <c:lblAlgn val="ctr"/>
        <c:lblOffset val="100"/>
        <c:noMultiLvlLbl val="0"/>
      </c:catAx>
      <c:valAx>
        <c:axId val="104866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7830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Total_sales_revenue by County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567879511910259E-2"/>
          <c:y val="0.13413075273987698"/>
          <c:w val="0.87922610982400828"/>
          <c:h val="0.67247487193871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'Q13. Total sales by county'!$B$1</c:f>
              <c:strCache>
                <c:ptCount val="1"/>
                <c:pt idx="0">
                  <c:v>total_sales_revenue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'Q13. Total sales by county'!$A$2:$A$11</c:f>
              <c:strCache>
                <c:ptCount val="10"/>
                <c:pt idx="0">
                  <c:v>Polk</c:v>
                </c:pt>
                <c:pt idx="1">
                  <c:v>Linn</c:v>
                </c:pt>
                <c:pt idx="2">
                  <c:v>Scott</c:v>
                </c:pt>
                <c:pt idx="3">
                  <c:v>Johnson</c:v>
                </c:pt>
                <c:pt idx="4">
                  <c:v>Black Hawk</c:v>
                </c:pt>
                <c:pt idx="5">
                  <c:v>Pottawattamie</c:v>
                </c:pt>
                <c:pt idx="6">
                  <c:v>Dubuque</c:v>
                </c:pt>
                <c:pt idx="7">
                  <c:v>Story</c:v>
                </c:pt>
                <c:pt idx="8">
                  <c:v>Woodbury</c:v>
                </c:pt>
                <c:pt idx="9">
                  <c:v>Dallas</c:v>
                </c:pt>
              </c:strCache>
            </c:strRef>
          </c:cat>
          <c:val>
            <c:numRef>
              <c:f>'Q13. Total sales by county'!$B$2:$B$11</c:f>
              <c:numCache>
                <c:formatCode>General</c:formatCode>
                <c:ptCount val="10"/>
                <c:pt idx="0">
                  <c:v>23272062.609999999</c:v>
                </c:pt>
                <c:pt idx="1">
                  <c:v>8565428.0899999999</c:v>
                </c:pt>
                <c:pt idx="2">
                  <c:v>7297544.6699999999</c:v>
                </c:pt>
                <c:pt idx="3">
                  <c:v>6481021.0499999998</c:v>
                </c:pt>
                <c:pt idx="4">
                  <c:v>5498016.6299999999</c:v>
                </c:pt>
                <c:pt idx="5">
                  <c:v>2997483.73</c:v>
                </c:pt>
                <c:pt idx="6">
                  <c:v>2927678.11</c:v>
                </c:pt>
                <c:pt idx="7">
                  <c:v>2895422.9</c:v>
                </c:pt>
                <c:pt idx="8">
                  <c:v>2688645.4</c:v>
                </c:pt>
                <c:pt idx="9">
                  <c:v>2022638.16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8-4F7C-90CE-733719718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048691743"/>
        <c:axId val="1048692223"/>
      </c:barChart>
      <c:catAx>
        <c:axId val="104869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92223"/>
        <c:crosses val="autoZero"/>
        <c:auto val="1"/>
        <c:lblAlgn val="ctr"/>
        <c:lblOffset val="100"/>
        <c:noMultiLvlLbl val="0"/>
      </c:catAx>
      <c:valAx>
        <c:axId val="104869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9174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'Q14. Revenue by pack size'!$B$1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'Q14. Revenue by pack size'!$A$2:$A$12</c:f>
              <c:strCache>
                <c:ptCount val="11"/>
                <c:pt idx="0">
                  <c:v>Pack 12</c:v>
                </c:pt>
                <c:pt idx="1">
                  <c:v>Pack 6</c:v>
                </c:pt>
                <c:pt idx="2">
                  <c:v>Pack 24</c:v>
                </c:pt>
                <c:pt idx="3">
                  <c:v>Pack 48</c:v>
                </c:pt>
                <c:pt idx="4">
                  <c:v>Pack 10</c:v>
                </c:pt>
                <c:pt idx="5">
                  <c:v>Pack 4</c:v>
                </c:pt>
                <c:pt idx="6">
                  <c:v>Pack 288</c:v>
                </c:pt>
                <c:pt idx="7">
                  <c:v>Pack 1</c:v>
                </c:pt>
                <c:pt idx="8">
                  <c:v>Pack 5</c:v>
                </c:pt>
                <c:pt idx="9">
                  <c:v>Pack 3</c:v>
                </c:pt>
                <c:pt idx="10">
                  <c:v>Pack 8</c:v>
                </c:pt>
              </c:strCache>
            </c:strRef>
          </c:cat>
          <c:val>
            <c:numRef>
              <c:f>'Q14. Revenue by pack size'!$B$2:$B$12</c:f>
              <c:numCache>
                <c:formatCode>General</c:formatCode>
                <c:ptCount val="11"/>
                <c:pt idx="0">
                  <c:v>51086650.289999999</c:v>
                </c:pt>
                <c:pt idx="1">
                  <c:v>35802010.049999997</c:v>
                </c:pt>
                <c:pt idx="2">
                  <c:v>4661074.0599999996</c:v>
                </c:pt>
                <c:pt idx="3">
                  <c:v>930001.22</c:v>
                </c:pt>
                <c:pt idx="4">
                  <c:v>411945.88</c:v>
                </c:pt>
                <c:pt idx="5">
                  <c:v>32203.35</c:v>
                </c:pt>
                <c:pt idx="6">
                  <c:v>29376</c:v>
                </c:pt>
                <c:pt idx="7">
                  <c:v>18151.349999999999</c:v>
                </c:pt>
                <c:pt idx="8">
                  <c:v>8552.1</c:v>
                </c:pt>
                <c:pt idx="9">
                  <c:v>6932.37</c:v>
                </c:pt>
                <c:pt idx="10">
                  <c:v>123.09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5-41E8-B06E-5CD786DF3F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75396943"/>
        <c:axId val="1075395503"/>
      </c:barChart>
      <c:catAx>
        <c:axId val="107539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395503"/>
        <c:crosses val="autoZero"/>
        <c:auto val="1"/>
        <c:lblAlgn val="ctr"/>
        <c:lblOffset val="100"/>
        <c:noMultiLvlLbl val="0"/>
      </c:catAx>
      <c:valAx>
        <c:axId val="10753955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7539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'Q6 - Best vs Worst'!$B$1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'Q6 - Best vs Worst'!$A$2:$A$3</c:f>
              <c:strCache>
                <c:ptCount val="2"/>
                <c:pt idx="0">
                  <c:v>Store 2633 (Best)</c:v>
                </c:pt>
                <c:pt idx="1">
                  <c:v>Store 4460 (Worst)</c:v>
                </c:pt>
              </c:strCache>
            </c:strRef>
          </c:cat>
          <c:val>
            <c:numRef>
              <c:f>'Q6 - Best vs Worst'!$B$2:$B$3</c:f>
              <c:numCache>
                <c:formatCode>General</c:formatCode>
                <c:ptCount val="2"/>
                <c:pt idx="0">
                  <c:v>3185533.17</c:v>
                </c:pt>
                <c:pt idx="1">
                  <c:v>146.97999999999999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9-4CF3-8379-743D374DB7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48252287"/>
        <c:axId val="848251327"/>
      </c:barChart>
      <c:catAx>
        <c:axId val="84825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251327"/>
        <c:crosses val="autoZero"/>
        <c:auto val="1"/>
        <c:lblAlgn val="ctr"/>
        <c:lblOffset val="100"/>
        <c:noMultiLvlLbl val="0"/>
      </c:catAx>
      <c:valAx>
        <c:axId val="8482513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48252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'Q8 (Stores Over $2K) (2)'!$B$1</c:f>
              <c:strCache>
                <c:ptCount val="1"/>
                <c:pt idx="0">
                  <c:v>Number of Stores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'Q8 (Stores Over $2K) (2)'!$A$2:$A$5</c:f>
              <c:strCache>
                <c:ptCount val="4"/>
                <c:pt idx="0">
                  <c:v>$2K -$10K</c:v>
                </c:pt>
                <c:pt idx="1">
                  <c:v>$10k - $50K</c:v>
                </c:pt>
                <c:pt idx="2">
                  <c:v>$50K - $100K</c:v>
                </c:pt>
                <c:pt idx="3">
                  <c:v>$100K+</c:v>
                </c:pt>
              </c:strCache>
            </c:strRef>
          </c:cat>
          <c:val>
            <c:numRef>
              <c:f>'Q8 (Stores Over $2K) (2)'!$B$2:$B$5</c:f>
              <c:numCache>
                <c:formatCode>General</c:formatCode>
                <c:ptCount val="4"/>
                <c:pt idx="0">
                  <c:v>240</c:v>
                </c:pt>
                <c:pt idx="1">
                  <c:v>645</c:v>
                </c:pt>
                <c:pt idx="2">
                  <c:v>191</c:v>
                </c:pt>
                <c:pt idx="3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8-411E-854D-CFC78F4ED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322591"/>
        <c:axId val="1329323071"/>
      </c:barChart>
      <c:catAx>
        <c:axId val="132932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23071"/>
        <c:crosses val="autoZero"/>
        <c:auto val="1"/>
        <c:lblAlgn val="ctr"/>
        <c:lblOffset val="100"/>
        <c:noMultiLvlLbl val="0"/>
      </c:catAx>
      <c:valAx>
        <c:axId val="132932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22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vs Population</a:t>
            </a:r>
            <a:endParaRPr lang="en-US"/>
          </a:p>
        </c:rich>
      </c:tx>
      <c:layout>
        <c:manualLayout>
          <c:xMode val="edge"/>
          <c:yMode val="edge"/>
          <c:x val="0.41277576789387804"/>
          <c:y val="5.076141117522459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75931049159396"/>
          <c:y val="9.6675107583215264E-2"/>
          <c:w val="0.78950840604383909"/>
          <c:h val="0.7031266830955107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'[2]Revenue vs Polulation'!$C$1</c:f>
              <c:strCache>
                <c:ptCount val="1"/>
                <c:pt idx="0">
                  <c:v>total_sales_revenue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'[2]Revenue vs Polulation'!$A$2:$A$11</c:f>
              <c:strCache>
                <c:ptCount val="10"/>
                <c:pt idx="0">
                  <c:v>Polk</c:v>
                </c:pt>
                <c:pt idx="1">
                  <c:v>Linn</c:v>
                </c:pt>
                <c:pt idx="2">
                  <c:v>Scott</c:v>
                </c:pt>
                <c:pt idx="3">
                  <c:v>Johnson</c:v>
                </c:pt>
                <c:pt idx="4">
                  <c:v>Black Hawk</c:v>
                </c:pt>
                <c:pt idx="5">
                  <c:v>Pottawattamie</c:v>
                </c:pt>
                <c:pt idx="6">
                  <c:v>Dubuque</c:v>
                </c:pt>
                <c:pt idx="7">
                  <c:v>Story</c:v>
                </c:pt>
                <c:pt idx="8">
                  <c:v>Woodbury</c:v>
                </c:pt>
                <c:pt idx="9">
                  <c:v>Dallas</c:v>
                </c:pt>
              </c:strCache>
            </c:strRef>
          </c:cat>
          <c:val>
            <c:numRef>
              <c:f>'[2]Revenue vs Polulation'!$C$2:$C$11</c:f>
              <c:numCache>
                <c:formatCode>General</c:formatCode>
                <c:ptCount val="10"/>
                <c:pt idx="0">
                  <c:v>23272062.609999999</c:v>
                </c:pt>
                <c:pt idx="1">
                  <c:v>8565428.0899999999</c:v>
                </c:pt>
                <c:pt idx="2">
                  <c:v>7297544.6699999999</c:v>
                </c:pt>
                <c:pt idx="3">
                  <c:v>6481021.0499999998</c:v>
                </c:pt>
                <c:pt idx="4">
                  <c:v>5498016.6299999999</c:v>
                </c:pt>
                <c:pt idx="5">
                  <c:v>2997483.73</c:v>
                </c:pt>
                <c:pt idx="6">
                  <c:v>2927678.11</c:v>
                </c:pt>
                <c:pt idx="7">
                  <c:v>2895422.9</c:v>
                </c:pt>
                <c:pt idx="8">
                  <c:v>2688645.4</c:v>
                </c:pt>
                <c:pt idx="9">
                  <c:v>2022638.16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3-4FC1-9371-A7ADB998C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-27"/>
        <c:axId val="39661519"/>
        <c:axId val="39661999"/>
      </c:barChart>
      <c:barChart>
        <c:barDir val="col"/>
        <c:grouping val="clustered"/>
        <c:varyColors val="0"/>
        <c:ser>
          <c:idx val="0"/>
          <c:order val="0"/>
          <c:tx>
            <c:strRef>
              <c:f>'[2]Revenue vs Polulation'!$B$1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'[2]Revenue vs Polulation'!$A$2:$A$11</c:f>
              <c:strCache>
                <c:ptCount val="10"/>
                <c:pt idx="0">
                  <c:v>Polk</c:v>
                </c:pt>
                <c:pt idx="1">
                  <c:v>Linn</c:v>
                </c:pt>
                <c:pt idx="2">
                  <c:v>Scott</c:v>
                </c:pt>
                <c:pt idx="3">
                  <c:v>Johnson</c:v>
                </c:pt>
                <c:pt idx="4">
                  <c:v>Black Hawk</c:v>
                </c:pt>
                <c:pt idx="5">
                  <c:v>Pottawattamie</c:v>
                </c:pt>
                <c:pt idx="6">
                  <c:v>Dubuque</c:v>
                </c:pt>
                <c:pt idx="7">
                  <c:v>Story</c:v>
                </c:pt>
                <c:pt idx="8">
                  <c:v>Woodbury</c:v>
                </c:pt>
                <c:pt idx="9">
                  <c:v>Dallas</c:v>
                </c:pt>
              </c:strCache>
            </c:strRef>
          </c:cat>
          <c:val>
            <c:numRef>
              <c:f>'[2]Revenue vs Polulation'!$B$2:$B$11</c:f>
              <c:numCache>
                <c:formatCode>General</c:formatCode>
                <c:ptCount val="10"/>
                <c:pt idx="0">
                  <c:v>430640</c:v>
                </c:pt>
                <c:pt idx="1">
                  <c:v>211226</c:v>
                </c:pt>
                <c:pt idx="2">
                  <c:v>165224</c:v>
                </c:pt>
                <c:pt idx="3">
                  <c:v>130882</c:v>
                </c:pt>
                <c:pt idx="4">
                  <c:v>131090</c:v>
                </c:pt>
                <c:pt idx="5">
                  <c:v>93158</c:v>
                </c:pt>
                <c:pt idx="6">
                  <c:v>93653</c:v>
                </c:pt>
                <c:pt idx="7">
                  <c:v>89542</c:v>
                </c:pt>
                <c:pt idx="8">
                  <c:v>102172</c:v>
                </c:pt>
                <c:pt idx="9">
                  <c:v>66135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D3-4FC1-9371-A7ADB998C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1025607439"/>
        <c:axId val="1025608879"/>
      </c:barChart>
      <c:catAx>
        <c:axId val="3966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1999"/>
        <c:crosses val="autoZero"/>
        <c:auto val="1"/>
        <c:lblAlgn val="ctr"/>
        <c:lblOffset val="100"/>
        <c:noMultiLvlLbl val="0"/>
      </c:catAx>
      <c:valAx>
        <c:axId val="3966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1519"/>
        <c:crosses val="autoZero"/>
        <c:crossBetween val="between"/>
      </c:valAx>
      <c:valAx>
        <c:axId val="102560887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607439"/>
        <c:crosses val="max"/>
        <c:crossBetween val="between"/>
      </c:valAx>
      <c:catAx>
        <c:axId val="10256074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5608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168274</xdr:colOff>
      <xdr:row>0</xdr:row>
      <xdr:rowOff>95250</xdr:rowOff>
    </xdr:from>
    <xdr:to>
      <xdr:col>13</xdr:col>
      <xdr:colOff>298450</xdr:colOff>
      <xdr:row>22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2FFC18-F916-A288-30C3-79F4A9970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187324</xdr:colOff>
      <xdr:row>0</xdr:row>
      <xdr:rowOff>171450</xdr:rowOff>
    </xdr:from>
    <xdr:to>
      <xdr:col>12</xdr:col>
      <xdr:colOff>234949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7FDE17-2DF3-6658-5426-29C02FEAD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250824</xdr:colOff>
      <xdr:row>1</xdr:row>
      <xdr:rowOff>6350</xdr:rowOff>
    </xdr:from>
    <xdr:to>
      <xdr:col>15</xdr:col>
      <xdr:colOff>95249</xdr:colOff>
      <xdr:row>21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E2DAB4-3A6E-7F07-B414-D3F457924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107950</xdr:rowOff>
    </xdr:from>
    <xdr:to>
      <xdr:col>15</xdr:col>
      <xdr:colOff>50800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543115-CE31-6FC1-61B0-1AECAA3D5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301625</xdr:colOff>
      <xdr:row>4</xdr:row>
      <xdr:rowOff>95250</xdr:rowOff>
    </xdr:from>
    <xdr:to>
      <xdr:col>12</xdr:col>
      <xdr:colOff>606425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238C3-0366-E62B-52F7-65EC8387E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168275</xdr:colOff>
      <xdr:row>4</xdr:row>
      <xdr:rowOff>19050</xdr:rowOff>
    </xdr:from>
    <xdr:to>
      <xdr:col>13</xdr:col>
      <xdr:colOff>473075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570FDA-C5C3-492A-95D5-87D249CE3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10</xdr:row>
      <xdr:rowOff>85725</xdr:rowOff>
    </xdr:from>
    <xdr:to>
      <xdr:col>17</xdr:col>
      <xdr:colOff>342900</xdr:colOff>
      <xdr:row>38</xdr:row>
      <xdr:rowOff>19051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AD5438-7165-455A-B280-E0BD4DA36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odkn\Downloads\data-1777567925630.csv" TargetMode="External"/><Relationship Id="rId1" Type="http://schemas.openxmlformats.org/officeDocument/2006/relationships/externalLinkPath" Target="file:///C:\Users\godkn\Downloads\data-1777567925630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odkn\Downloads\data-1777582974876.csv" TargetMode="External"/><Relationship Id="rId1" Type="http://schemas.openxmlformats.org/officeDocument/2006/relationships/externalLinkPath" Target="file:///C:\Users\godkn\Downloads\data-1777582974876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-1777567925630"/>
    </sheetNames>
    <sheetDataSet>
      <sheetData sheetId="0">
        <row r="1">
          <cell r="B1" t="str">
            <v>Sales</v>
          </cell>
        </row>
        <row r="2">
          <cell r="A2" t="str">
            <v>Pack 12</v>
          </cell>
          <cell r="B2">
            <v>51086650.289999999</v>
          </cell>
        </row>
        <row r="3">
          <cell r="A3" t="str">
            <v>Pack 6</v>
          </cell>
          <cell r="B3">
            <v>35802010.049999997</v>
          </cell>
        </row>
        <row r="4">
          <cell r="A4" t="str">
            <v>Pack 24</v>
          </cell>
          <cell r="B4">
            <v>4661074.0599999996</v>
          </cell>
        </row>
        <row r="5">
          <cell r="A5" t="str">
            <v>Pack 48</v>
          </cell>
          <cell r="B5">
            <v>930001.22</v>
          </cell>
        </row>
        <row r="6">
          <cell r="A6" t="str">
            <v>Pack 10</v>
          </cell>
          <cell r="B6">
            <v>411945.88</v>
          </cell>
        </row>
        <row r="7">
          <cell r="A7" t="str">
            <v>Pack 4</v>
          </cell>
          <cell r="B7">
            <v>32203.35</v>
          </cell>
        </row>
        <row r="8">
          <cell r="A8" t="str">
            <v>Pack 288</v>
          </cell>
          <cell r="B8">
            <v>29376</v>
          </cell>
        </row>
        <row r="9">
          <cell r="A9" t="str">
            <v>Pack 1</v>
          </cell>
          <cell r="B9">
            <v>18151.349999999999</v>
          </cell>
        </row>
        <row r="10">
          <cell r="A10" t="str">
            <v>Pack 5</v>
          </cell>
          <cell r="B10">
            <v>8552.1</v>
          </cell>
        </row>
        <row r="11">
          <cell r="A11" t="str">
            <v>Pack 3</v>
          </cell>
          <cell r="B11">
            <v>6932.37</v>
          </cell>
        </row>
        <row r="12">
          <cell r="A12" t="str">
            <v>Pack 8</v>
          </cell>
          <cell r="B12">
            <v>123.09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enue vs Polulation"/>
    </sheetNames>
    <sheetDataSet>
      <sheetData sheetId="0">
        <row r="1">
          <cell r="B1" t="str">
            <v>population</v>
          </cell>
          <cell r="C1" t="str">
            <v>total_sales_revenue</v>
          </cell>
        </row>
        <row r="2">
          <cell r="A2" t="str">
            <v>Polk</v>
          </cell>
          <cell r="B2">
            <v>430640</v>
          </cell>
          <cell r="C2">
            <v>23272062.609999999</v>
          </cell>
        </row>
        <row r="3">
          <cell r="A3" t="str">
            <v>Linn</v>
          </cell>
          <cell r="B3">
            <v>211226</v>
          </cell>
          <cell r="C3">
            <v>8565428.0899999999</v>
          </cell>
        </row>
        <row r="4">
          <cell r="A4" t="str">
            <v>Scott</v>
          </cell>
          <cell r="B4">
            <v>165224</v>
          </cell>
          <cell r="C4">
            <v>7297544.6699999999</v>
          </cell>
        </row>
        <row r="5">
          <cell r="A5" t="str">
            <v>Johnson</v>
          </cell>
          <cell r="B5">
            <v>130882</v>
          </cell>
          <cell r="C5">
            <v>6481021.0499999998</v>
          </cell>
        </row>
        <row r="6">
          <cell r="A6" t="str">
            <v>Black Hawk</v>
          </cell>
          <cell r="B6">
            <v>131090</v>
          </cell>
          <cell r="C6">
            <v>5498016.6299999999</v>
          </cell>
        </row>
        <row r="7">
          <cell r="A7" t="str">
            <v>Pottawattamie</v>
          </cell>
          <cell r="B7">
            <v>93158</v>
          </cell>
          <cell r="C7">
            <v>2997483.73</v>
          </cell>
        </row>
        <row r="8">
          <cell r="A8" t="str">
            <v>Dubuque</v>
          </cell>
          <cell r="B8">
            <v>93653</v>
          </cell>
          <cell r="C8">
            <v>2927678.11</v>
          </cell>
        </row>
        <row r="9">
          <cell r="A9" t="str">
            <v>Story</v>
          </cell>
          <cell r="B9">
            <v>89542</v>
          </cell>
          <cell r="C9">
            <v>2895422.9</v>
          </cell>
        </row>
        <row r="10">
          <cell r="A10" t="str">
            <v>Woodbury</v>
          </cell>
          <cell r="B10">
            <v>102172</v>
          </cell>
          <cell r="C10">
            <v>2688645.4</v>
          </cell>
        </row>
        <row r="11">
          <cell r="A11" t="str">
            <v>Dallas</v>
          </cell>
          <cell r="B11">
            <v>66135</v>
          </cell>
          <cell r="C11">
            <v>2022638.16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528077-A612-4DE6-8BBF-B78A76679630}" autoFormatId="16" applyNumberFormats="0" applyBorderFormats="0" applyFontFormats="0" applyPatternFormats="0" applyAlignmentFormats="0" applyWidthHeightFormats="0">
  <queryTableRefresh nextId="3">
    <queryTableFields count="2">
      <queryTableField id="1" name="vendor" tableColumnId="1"/>
      <queryTableField id="2" name="total_sales_reven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5E2E544-DA50-4CB9-9BA4-B0BD80EB8B46}" autoFormatId="16" applyNumberFormats="0" applyBorderFormats="0" applyFontFormats="0" applyPatternFormats="0" applyAlignmentFormats="0" applyWidthHeightFormats="0">
  <queryTableRefresh nextId="3">
    <queryTableFields count="2">
      <queryTableField id="1" name="store" tableColumnId="1"/>
      <queryTableField id="2" name="total_sales_reven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8E440C-2667-482B-9649-27925A35E2A3}" name="Q7__Vendor_Revenue_Ranking" displayName="Q7__Vendor_Revenue_Ranking" ref="A1:B11" tableType="queryTable" totalsRowShown="0">
  <autoFilter ref="A1:B11" xr:uid="{758E440C-2667-482B-9649-27925A35E2A3}"/>
  <tableColumns count="2">
    <tableColumn id="1" xr3:uid="{670FD6F6-C8E7-4E8A-BC82-FDFB62BC967C}" uniqueName="1" name="vendor" queryTableFieldId="1" dataDxfId="0"/>
    <tableColumn id="2" xr3:uid="{4B7E61C7-A839-4072-9552-9017C5E94A2C}" uniqueName="2" name="total_sales_reven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A7D16F-2468-4B40-BA18-EC3BAD1AD308}" name="Q8__Stores_Over__2K___2" displayName="Q8__Stores_Over__2K___2" ref="D1:E1293" tableType="queryTable" totalsRowShown="0">
  <autoFilter ref="D1:E1293" xr:uid="{D2D9AA50-FFAB-433F-A794-BDACEF8BAAAC}"/>
  <tableColumns count="2">
    <tableColumn id="1" xr3:uid="{7681B51A-8BD8-4AFC-8F79-BAFA9314D50C}" uniqueName="1" name="store" queryTableFieldId="1"/>
    <tableColumn id="2" xr3:uid="{EA7E04DA-87B3-4236-AB5C-FDC68332A360}" uniqueName="2" name="total_sales_reven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A90CD-5ADC-4E4E-9B6C-363A4D5FFC06}">
  <dimension ref="A1:B11"/>
  <sheetViews>
    <sheetView tabSelected="1" workbookViewId="0">
      <selection activeCell="E27" sqref="E27"/>
    </sheetView>
  </sheetViews>
  <sheetFormatPr defaultRowHeight="14.5" x14ac:dyDescent="0.35"/>
  <cols>
    <col min="1" max="1" width="24.54296875" bestFit="1" customWidth="1"/>
    <col min="2" max="2" width="15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74264</v>
      </c>
    </row>
    <row r="3" spans="1:2" x14ac:dyDescent="0.35">
      <c r="A3" t="s">
        <v>3</v>
      </c>
      <c r="B3">
        <v>36136</v>
      </c>
    </row>
    <row r="4" spans="1:2" x14ac:dyDescent="0.35">
      <c r="A4" t="s">
        <v>4</v>
      </c>
      <c r="B4">
        <v>33138</v>
      </c>
    </row>
    <row r="5" spans="1:2" x14ac:dyDescent="0.35">
      <c r="A5" t="s">
        <v>5</v>
      </c>
      <c r="B5">
        <v>31836</v>
      </c>
    </row>
    <row r="6" spans="1:2" x14ac:dyDescent="0.35">
      <c r="A6" t="s">
        <v>6</v>
      </c>
      <c r="B6">
        <v>27845</v>
      </c>
    </row>
    <row r="7" spans="1:2" x14ac:dyDescent="0.35">
      <c r="A7" t="s">
        <v>7</v>
      </c>
      <c r="B7">
        <v>25854</v>
      </c>
    </row>
    <row r="8" spans="1:2" x14ac:dyDescent="0.35">
      <c r="A8" t="s">
        <v>8</v>
      </c>
      <c r="B8">
        <v>25417</v>
      </c>
    </row>
    <row r="9" spans="1:2" x14ac:dyDescent="0.35">
      <c r="A9" t="s">
        <v>9</v>
      </c>
      <c r="B9">
        <v>21646</v>
      </c>
    </row>
    <row r="10" spans="1:2" x14ac:dyDescent="0.35">
      <c r="A10" t="s">
        <v>10</v>
      </c>
      <c r="B10">
        <v>19576</v>
      </c>
    </row>
    <row r="11" spans="1:2" x14ac:dyDescent="0.35">
      <c r="A11" t="s">
        <v>11</v>
      </c>
      <c r="B11">
        <v>18328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62D90-A187-40C3-AE8F-416771E46C84}">
  <dimension ref="A1:B11"/>
  <sheetViews>
    <sheetView workbookViewId="0">
      <selection sqref="A1:B11"/>
    </sheetView>
  </sheetViews>
  <sheetFormatPr defaultRowHeight="14.5" x14ac:dyDescent="0.35"/>
  <cols>
    <col min="1" max="1" width="28.36328125" bestFit="1" customWidth="1"/>
    <col min="2" max="2" width="19.81640625" bestFit="1" customWidth="1"/>
  </cols>
  <sheetData>
    <row r="1" spans="1:2" x14ac:dyDescent="0.35">
      <c r="A1" t="s">
        <v>12</v>
      </c>
      <c r="B1" t="s">
        <v>13</v>
      </c>
    </row>
    <row r="2" spans="1:2" x14ac:dyDescent="0.35">
      <c r="A2" t="s">
        <v>14</v>
      </c>
      <c r="B2">
        <v>19082595.370000001</v>
      </c>
    </row>
    <row r="3" spans="1:2" x14ac:dyDescent="0.35">
      <c r="A3" t="s">
        <v>15</v>
      </c>
      <c r="B3">
        <v>11239874.619999999</v>
      </c>
    </row>
    <row r="4" spans="1:2" x14ac:dyDescent="0.35">
      <c r="A4" t="s">
        <v>16</v>
      </c>
      <c r="B4">
        <v>10904201.68</v>
      </c>
    </row>
    <row r="5" spans="1:2" x14ac:dyDescent="0.35">
      <c r="A5" t="s">
        <v>17</v>
      </c>
      <c r="B5">
        <v>8713488.8100000005</v>
      </c>
    </row>
    <row r="6" spans="1:2" x14ac:dyDescent="0.35">
      <c r="A6" t="s">
        <v>18</v>
      </c>
      <c r="B6">
        <v>6006840.3700000001</v>
      </c>
    </row>
    <row r="7" spans="1:2" x14ac:dyDescent="0.35">
      <c r="A7" t="s">
        <v>19</v>
      </c>
      <c r="B7">
        <v>5509214.8300000001</v>
      </c>
    </row>
    <row r="8" spans="1:2" x14ac:dyDescent="0.35">
      <c r="A8" t="s">
        <v>20</v>
      </c>
      <c r="B8">
        <v>5259400.47</v>
      </c>
    </row>
    <row r="9" spans="1:2" x14ac:dyDescent="0.35">
      <c r="A9" t="s">
        <v>21</v>
      </c>
      <c r="B9">
        <v>3669540.11</v>
      </c>
    </row>
    <row r="10" spans="1:2" x14ac:dyDescent="0.35">
      <c r="A10" t="s">
        <v>22</v>
      </c>
      <c r="B10">
        <v>3444053.09</v>
      </c>
    </row>
    <row r="11" spans="1:2" x14ac:dyDescent="0.35">
      <c r="A11" t="s">
        <v>23</v>
      </c>
      <c r="B11">
        <v>3324512.66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101A9-4F82-40BB-B4AA-08744BD988C2}">
  <dimension ref="A1:B11"/>
  <sheetViews>
    <sheetView workbookViewId="0">
      <selection activeCell="D20" sqref="D20"/>
    </sheetView>
  </sheetViews>
  <sheetFormatPr defaultRowHeight="14.5" x14ac:dyDescent="0.35"/>
  <cols>
    <col min="1" max="1" width="12.7265625" bestFit="1" customWidth="1"/>
    <col min="2" max="2" width="17.54296875" bestFit="1" customWidth="1"/>
  </cols>
  <sheetData>
    <row r="1" spans="1:2" x14ac:dyDescent="0.35">
      <c r="A1" s="1" t="s">
        <v>24</v>
      </c>
      <c r="B1" s="2" t="s">
        <v>13</v>
      </c>
    </row>
    <row r="2" spans="1:2" x14ac:dyDescent="0.35">
      <c r="A2" s="3" t="s">
        <v>25</v>
      </c>
      <c r="B2" s="5">
        <v>23272062.609999999</v>
      </c>
    </row>
    <row r="3" spans="1:2" x14ac:dyDescent="0.35">
      <c r="A3" s="4" t="s">
        <v>26</v>
      </c>
      <c r="B3" s="6">
        <v>8565428.0899999999</v>
      </c>
    </row>
    <row r="4" spans="1:2" x14ac:dyDescent="0.35">
      <c r="A4" s="3" t="s">
        <v>27</v>
      </c>
      <c r="B4" s="5">
        <v>7297544.6699999999</v>
      </c>
    </row>
    <row r="5" spans="1:2" x14ac:dyDescent="0.35">
      <c r="A5" s="4" t="s">
        <v>28</v>
      </c>
      <c r="B5" s="6">
        <v>6481021.0499999998</v>
      </c>
    </row>
    <row r="6" spans="1:2" x14ac:dyDescent="0.35">
      <c r="A6" s="3" t="s">
        <v>29</v>
      </c>
      <c r="B6" s="5">
        <v>5498016.6299999999</v>
      </c>
    </row>
    <row r="7" spans="1:2" x14ac:dyDescent="0.35">
      <c r="A7" s="4" t="s">
        <v>30</v>
      </c>
      <c r="B7" s="6">
        <v>2997483.73</v>
      </c>
    </row>
    <row r="8" spans="1:2" x14ac:dyDescent="0.35">
      <c r="A8" s="3" t="s">
        <v>31</v>
      </c>
      <c r="B8" s="5">
        <v>2927678.11</v>
      </c>
    </row>
    <row r="9" spans="1:2" x14ac:dyDescent="0.35">
      <c r="A9" s="4" t="s">
        <v>32</v>
      </c>
      <c r="B9" s="6">
        <v>2895422.9</v>
      </c>
    </row>
    <row r="10" spans="1:2" x14ac:dyDescent="0.35">
      <c r="A10" s="3" t="s">
        <v>33</v>
      </c>
      <c r="B10" s="5">
        <v>2688645.4</v>
      </c>
    </row>
    <row r="11" spans="1:2" x14ac:dyDescent="0.35">
      <c r="A11" s="4" t="s">
        <v>34</v>
      </c>
      <c r="B11" s="6">
        <v>2022638.16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E02E-A007-4B18-A253-62AC40AF6442}">
  <dimension ref="A1:B12"/>
  <sheetViews>
    <sheetView workbookViewId="0">
      <selection activeCell="C16" sqref="C16"/>
    </sheetView>
  </sheetViews>
  <sheetFormatPr defaultRowHeight="14.5" x14ac:dyDescent="0.35"/>
  <sheetData>
    <row r="1" spans="1:2" x14ac:dyDescent="0.35">
      <c r="A1" t="s">
        <v>35</v>
      </c>
      <c r="B1" t="s">
        <v>36</v>
      </c>
    </row>
    <row r="2" spans="1:2" x14ac:dyDescent="0.35">
      <c r="A2" t="s">
        <v>37</v>
      </c>
      <c r="B2">
        <v>51086650.289999999</v>
      </c>
    </row>
    <row r="3" spans="1:2" x14ac:dyDescent="0.35">
      <c r="A3" t="s">
        <v>38</v>
      </c>
      <c r="B3">
        <v>35802010.049999997</v>
      </c>
    </row>
    <row r="4" spans="1:2" x14ac:dyDescent="0.35">
      <c r="A4" t="s">
        <v>39</v>
      </c>
      <c r="B4">
        <v>4661074.0599999996</v>
      </c>
    </row>
    <row r="5" spans="1:2" x14ac:dyDescent="0.35">
      <c r="A5" t="s">
        <v>40</v>
      </c>
      <c r="B5">
        <v>930001.22</v>
      </c>
    </row>
    <row r="6" spans="1:2" x14ac:dyDescent="0.35">
      <c r="A6" t="s">
        <v>41</v>
      </c>
      <c r="B6">
        <v>411945.88</v>
      </c>
    </row>
    <row r="7" spans="1:2" x14ac:dyDescent="0.35">
      <c r="A7" t="s">
        <v>42</v>
      </c>
      <c r="B7">
        <v>32203.35</v>
      </c>
    </row>
    <row r="8" spans="1:2" x14ac:dyDescent="0.35">
      <c r="A8" t="s">
        <v>43</v>
      </c>
      <c r="B8">
        <v>29376</v>
      </c>
    </row>
    <row r="9" spans="1:2" x14ac:dyDescent="0.35">
      <c r="A9" t="s">
        <v>44</v>
      </c>
      <c r="B9">
        <v>18151.349999999999</v>
      </c>
    </row>
    <row r="10" spans="1:2" x14ac:dyDescent="0.35">
      <c r="A10" t="s">
        <v>45</v>
      </c>
      <c r="B10">
        <v>8552.1</v>
      </c>
    </row>
    <row r="11" spans="1:2" x14ac:dyDescent="0.35">
      <c r="A11" t="s">
        <v>46</v>
      </c>
      <c r="B11">
        <v>6932.37</v>
      </c>
    </row>
    <row r="12" spans="1:2" x14ac:dyDescent="0.35">
      <c r="A12" t="s">
        <v>47</v>
      </c>
      <c r="B12">
        <v>123.09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66B9-9519-4E1A-A8C4-79A001F8027C}">
  <dimension ref="A1:B3"/>
  <sheetViews>
    <sheetView workbookViewId="0">
      <selection activeCell="O14" sqref="O14"/>
    </sheetView>
  </sheetViews>
  <sheetFormatPr defaultRowHeight="14.5" x14ac:dyDescent="0.35"/>
  <cols>
    <col min="1" max="1" width="16" bestFit="1" customWidth="1"/>
    <col min="2" max="2" width="12.08984375" bestFit="1" customWidth="1"/>
  </cols>
  <sheetData>
    <row r="1" spans="1:2" x14ac:dyDescent="0.35">
      <c r="A1" t="s">
        <v>48</v>
      </c>
      <c r="B1" t="s">
        <v>49</v>
      </c>
    </row>
    <row r="2" spans="1:2" x14ac:dyDescent="0.35">
      <c r="A2" t="s">
        <v>50</v>
      </c>
      <c r="B2">
        <v>3185533.17</v>
      </c>
    </row>
    <row r="3" spans="1:2" x14ac:dyDescent="0.35">
      <c r="A3" t="s">
        <v>51</v>
      </c>
      <c r="B3">
        <v>146.97999999999999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17525-8BA7-4F4B-9A1E-15D6890B66F3}">
  <dimension ref="A1:E1293"/>
  <sheetViews>
    <sheetView workbookViewId="0">
      <selection activeCell="G851" sqref="G851"/>
    </sheetView>
  </sheetViews>
  <sheetFormatPr defaultRowHeight="14.5" x14ac:dyDescent="0.35"/>
  <cols>
    <col min="1" max="1" width="11.08984375" bestFit="1" customWidth="1"/>
    <col min="2" max="2" width="14.81640625" bestFit="1" customWidth="1"/>
    <col min="4" max="4" width="7.26953125" bestFit="1" customWidth="1"/>
    <col min="5" max="5" width="19.81640625" bestFit="1" customWidth="1"/>
  </cols>
  <sheetData>
    <row r="1" spans="1:5" x14ac:dyDescent="0.35">
      <c r="A1" t="s">
        <v>58</v>
      </c>
      <c r="B1" t="s">
        <v>57</v>
      </c>
      <c r="D1" t="s">
        <v>56</v>
      </c>
      <c r="E1" t="s">
        <v>13</v>
      </c>
    </row>
    <row r="2" spans="1:5" x14ac:dyDescent="0.35">
      <c r="A2" t="s">
        <v>55</v>
      </c>
      <c r="B2">
        <f>COUNTIFS(E:E,"&gt;="&amp;2000,E:E,"&lt;"&amp;10000)</f>
        <v>240</v>
      </c>
      <c r="D2">
        <v>2633</v>
      </c>
      <c r="E2">
        <v>3185533.17</v>
      </c>
    </row>
    <row r="3" spans="1:5" x14ac:dyDescent="0.35">
      <c r="A3" t="s">
        <v>54</v>
      </c>
      <c r="B3">
        <f>COUNTIFS(E:E,"&gt;="&amp;10000,E:E,"&lt;"&amp;50000)</f>
        <v>645</v>
      </c>
      <c r="D3">
        <v>4829</v>
      </c>
      <c r="E3">
        <v>3007134.99</v>
      </c>
    </row>
    <row r="4" spans="1:5" x14ac:dyDescent="0.35">
      <c r="A4" t="s">
        <v>53</v>
      </c>
      <c r="B4">
        <f>COUNTIFS(E:E,"&gt;="&amp;50000,E:E,"&lt;"&amp;100000)</f>
        <v>191</v>
      </c>
      <c r="D4">
        <v>2512</v>
      </c>
      <c r="E4">
        <v>1454358.26</v>
      </c>
    </row>
    <row r="5" spans="1:5" x14ac:dyDescent="0.35">
      <c r="A5" t="s">
        <v>52</v>
      </c>
      <c r="B5">
        <f>COUNTIFS(E:E,"&gt;="&amp;100000)</f>
        <v>216</v>
      </c>
      <c r="D5">
        <v>3814</v>
      </c>
      <c r="E5">
        <v>1208724.3</v>
      </c>
    </row>
    <row r="6" spans="1:5" x14ac:dyDescent="0.35">
      <c r="D6">
        <v>3420</v>
      </c>
      <c r="E6">
        <v>1116789.72</v>
      </c>
    </row>
    <row r="7" spans="1:5" x14ac:dyDescent="0.35">
      <c r="D7">
        <v>3385</v>
      </c>
      <c r="E7">
        <v>992182.32</v>
      </c>
    </row>
    <row r="8" spans="1:5" x14ac:dyDescent="0.35">
      <c r="D8">
        <v>3952</v>
      </c>
      <c r="E8">
        <v>949255.54</v>
      </c>
    </row>
    <row r="9" spans="1:5" x14ac:dyDescent="0.35">
      <c r="D9">
        <v>2599</v>
      </c>
      <c r="E9">
        <v>689790.05</v>
      </c>
    </row>
    <row r="10" spans="1:5" x14ac:dyDescent="0.35">
      <c r="D10">
        <v>3773</v>
      </c>
      <c r="E10">
        <v>686380.92</v>
      </c>
    </row>
    <row r="11" spans="1:5" x14ac:dyDescent="0.35">
      <c r="D11">
        <v>3926</v>
      </c>
      <c r="E11">
        <v>678146.24</v>
      </c>
    </row>
    <row r="12" spans="1:5" x14ac:dyDescent="0.35">
      <c r="D12">
        <v>2648</v>
      </c>
      <c r="E12">
        <v>633346.11</v>
      </c>
    </row>
    <row r="13" spans="1:5" x14ac:dyDescent="0.35">
      <c r="D13">
        <v>2614</v>
      </c>
      <c r="E13">
        <v>606647.87</v>
      </c>
    </row>
    <row r="14" spans="1:5" x14ac:dyDescent="0.35">
      <c r="D14">
        <v>3354</v>
      </c>
      <c r="E14">
        <v>575214.74</v>
      </c>
    </row>
    <row r="15" spans="1:5" x14ac:dyDescent="0.35">
      <c r="D15">
        <v>4677</v>
      </c>
      <c r="E15">
        <v>566946.81999999995</v>
      </c>
    </row>
    <row r="16" spans="1:5" x14ac:dyDescent="0.35">
      <c r="D16">
        <v>2619</v>
      </c>
      <c r="E16">
        <v>559677.09</v>
      </c>
    </row>
    <row r="17" spans="4:5" x14ac:dyDescent="0.35">
      <c r="D17">
        <v>2561</v>
      </c>
      <c r="E17">
        <v>551624.1</v>
      </c>
    </row>
    <row r="18" spans="4:5" x14ac:dyDescent="0.35">
      <c r="D18">
        <v>2603</v>
      </c>
      <c r="E18">
        <v>538131.86</v>
      </c>
    </row>
    <row r="19" spans="4:5" x14ac:dyDescent="0.35">
      <c r="D19">
        <v>2629</v>
      </c>
      <c r="E19">
        <v>536409.15</v>
      </c>
    </row>
    <row r="20" spans="4:5" x14ac:dyDescent="0.35">
      <c r="D20">
        <v>2506</v>
      </c>
      <c r="E20">
        <v>511909.18</v>
      </c>
    </row>
    <row r="21" spans="4:5" x14ac:dyDescent="0.35">
      <c r="D21">
        <v>2500</v>
      </c>
      <c r="E21">
        <v>505356.79999999999</v>
      </c>
    </row>
    <row r="22" spans="4:5" x14ac:dyDescent="0.35">
      <c r="D22">
        <v>2625</v>
      </c>
      <c r="E22">
        <v>500205.56</v>
      </c>
    </row>
    <row r="23" spans="4:5" x14ac:dyDescent="0.35">
      <c r="D23">
        <v>2502</v>
      </c>
      <c r="E23">
        <v>498637.28</v>
      </c>
    </row>
    <row r="24" spans="4:5" x14ac:dyDescent="0.35">
      <c r="D24">
        <v>2626</v>
      </c>
      <c r="E24">
        <v>480410.5</v>
      </c>
    </row>
    <row r="25" spans="4:5" x14ac:dyDescent="0.35">
      <c r="D25">
        <v>3494</v>
      </c>
      <c r="E25">
        <v>473725.5</v>
      </c>
    </row>
    <row r="26" spans="4:5" x14ac:dyDescent="0.35">
      <c r="D26">
        <v>2501</v>
      </c>
      <c r="E26">
        <v>473484.49</v>
      </c>
    </row>
    <row r="27" spans="4:5" x14ac:dyDescent="0.35">
      <c r="D27">
        <v>2663</v>
      </c>
      <c r="E27">
        <v>467249.65</v>
      </c>
    </row>
    <row r="28" spans="4:5" x14ac:dyDescent="0.35">
      <c r="D28">
        <v>2627</v>
      </c>
      <c r="E28">
        <v>465194.19</v>
      </c>
    </row>
    <row r="29" spans="4:5" x14ac:dyDescent="0.35">
      <c r="D29">
        <v>2521</v>
      </c>
      <c r="E29">
        <v>462450.26</v>
      </c>
    </row>
    <row r="30" spans="4:5" x14ac:dyDescent="0.35">
      <c r="D30">
        <v>2508</v>
      </c>
      <c r="E30">
        <v>460807.72</v>
      </c>
    </row>
    <row r="31" spans="4:5" x14ac:dyDescent="0.35">
      <c r="D31">
        <v>2616</v>
      </c>
      <c r="E31">
        <v>452214.83</v>
      </c>
    </row>
    <row r="32" spans="4:5" x14ac:dyDescent="0.35">
      <c r="D32">
        <v>2190</v>
      </c>
      <c r="E32">
        <v>448741</v>
      </c>
    </row>
    <row r="33" spans="4:5" x14ac:dyDescent="0.35">
      <c r="D33">
        <v>2665</v>
      </c>
      <c r="E33">
        <v>437430.24</v>
      </c>
    </row>
    <row r="34" spans="4:5" x14ac:dyDescent="0.35">
      <c r="D34">
        <v>3524</v>
      </c>
      <c r="E34">
        <v>434266.5</v>
      </c>
    </row>
    <row r="35" spans="4:5" x14ac:dyDescent="0.35">
      <c r="D35">
        <v>4312</v>
      </c>
      <c r="E35">
        <v>430082.41</v>
      </c>
    </row>
    <row r="36" spans="4:5" x14ac:dyDescent="0.35">
      <c r="D36">
        <v>2590</v>
      </c>
      <c r="E36">
        <v>425799.18</v>
      </c>
    </row>
    <row r="37" spans="4:5" x14ac:dyDescent="0.35">
      <c r="D37">
        <v>3820</v>
      </c>
      <c r="E37">
        <v>424337.09</v>
      </c>
    </row>
    <row r="38" spans="4:5" x14ac:dyDescent="0.35">
      <c r="D38">
        <v>4167</v>
      </c>
      <c r="E38">
        <v>423540.41</v>
      </c>
    </row>
    <row r="39" spans="4:5" x14ac:dyDescent="0.35">
      <c r="D39">
        <v>2635</v>
      </c>
      <c r="E39">
        <v>417339.13</v>
      </c>
    </row>
    <row r="40" spans="4:5" x14ac:dyDescent="0.35">
      <c r="D40">
        <v>2528</v>
      </c>
      <c r="E40">
        <v>400840.52</v>
      </c>
    </row>
    <row r="41" spans="4:5" x14ac:dyDescent="0.35">
      <c r="D41">
        <v>2666</v>
      </c>
      <c r="E41">
        <v>398239.67</v>
      </c>
    </row>
    <row r="42" spans="4:5" x14ac:dyDescent="0.35">
      <c r="D42">
        <v>2515</v>
      </c>
      <c r="E42">
        <v>390448</v>
      </c>
    </row>
    <row r="43" spans="4:5" x14ac:dyDescent="0.35">
      <c r="D43">
        <v>3692</v>
      </c>
      <c r="E43">
        <v>386937.19</v>
      </c>
    </row>
    <row r="44" spans="4:5" x14ac:dyDescent="0.35">
      <c r="D44">
        <v>2465</v>
      </c>
      <c r="E44">
        <v>381586.25</v>
      </c>
    </row>
    <row r="45" spans="4:5" x14ac:dyDescent="0.35">
      <c r="D45">
        <v>3447</v>
      </c>
      <c r="E45">
        <v>380732.7</v>
      </c>
    </row>
    <row r="46" spans="4:5" x14ac:dyDescent="0.35">
      <c r="D46">
        <v>2552</v>
      </c>
      <c r="E46">
        <v>375865.86</v>
      </c>
    </row>
    <row r="47" spans="4:5" x14ac:dyDescent="0.35">
      <c r="D47">
        <v>2106</v>
      </c>
      <c r="E47">
        <v>370761.89</v>
      </c>
    </row>
    <row r="48" spans="4:5" x14ac:dyDescent="0.35">
      <c r="D48">
        <v>2560</v>
      </c>
      <c r="E48">
        <v>369991.13</v>
      </c>
    </row>
    <row r="49" spans="4:5" x14ac:dyDescent="0.35">
      <c r="D49">
        <v>2637</v>
      </c>
      <c r="E49">
        <v>368968.81</v>
      </c>
    </row>
    <row r="50" spans="4:5" x14ac:dyDescent="0.35">
      <c r="D50">
        <v>2573</v>
      </c>
      <c r="E50">
        <v>361946.41</v>
      </c>
    </row>
    <row r="51" spans="4:5" x14ac:dyDescent="0.35">
      <c r="D51">
        <v>2544</v>
      </c>
      <c r="E51">
        <v>360492.23</v>
      </c>
    </row>
    <row r="52" spans="4:5" x14ac:dyDescent="0.35">
      <c r="D52">
        <v>2605</v>
      </c>
      <c r="E52">
        <v>359030.48</v>
      </c>
    </row>
    <row r="53" spans="4:5" x14ac:dyDescent="0.35">
      <c r="D53">
        <v>2647</v>
      </c>
      <c r="E53">
        <v>355340.32</v>
      </c>
    </row>
    <row r="54" spans="4:5" x14ac:dyDescent="0.35">
      <c r="D54">
        <v>2620</v>
      </c>
      <c r="E54">
        <v>348824.69</v>
      </c>
    </row>
    <row r="55" spans="4:5" x14ac:dyDescent="0.35">
      <c r="D55">
        <v>2613</v>
      </c>
      <c r="E55">
        <v>341032.19</v>
      </c>
    </row>
    <row r="56" spans="4:5" x14ac:dyDescent="0.35">
      <c r="D56">
        <v>2572</v>
      </c>
      <c r="E56">
        <v>335919.03</v>
      </c>
    </row>
    <row r="57" spans="4:5" x14ac:dyDescent="0.35">
      <c r="D57">
        <v>2548</v>
      </c>
      <c r="E57">
        <v>327502.23</v>
      </c>
    </row>
    <row r="58" spans="4:5" x14ac:dyDescent="0.35">
      <c r="D58">
        <v>3390</v>
      </c>
      <c r="E58">
        <v>326112.09999999998</v>
      </c>
    </row>
    <row r="59" spans="4:5" x14ac:dyDescent="0.35">
      <c r="D59">
        <v>2593</v>
      </c>
      <c r="E59">
        <v>320102.24</v>
      </c>
    </row>
    <row r="60" spans="4:5" x14ac:dyDescent="0.35">
      <c r="D60">
        <v>2623</v>
      </c>
      <c r="E60">
        <v>318767.38</v>
      </c>
    </row>
    <row r="61" spans="4:5" x14ac:dyDescent="0.35">
      <c r="D61">
        <v>2524</v>
      </c>
      <c r="E61">
        <v>316815.14</v>
      </c>
    </row>
    <row r="62" spans="4:5" x14ac:dyDescent="0.35">
      <c r="D62">
        <v>3980</v>
      </c>
      <c r="E62">
        <v>313429.76000000001</v>
      </c>
    </row>
    <row r="63" spans="4:5" x14ac:dyDescent="0.35">
      <c r="D63">
        <v>2587</v>
      </c>
      <c r="E63">
        <v>308603.77</v>
      </c>
    </row>
    <row r="64" spans="4:5" x14ac:dyDescent="0.35">
      <c r="D64">
        <v>2644</v>
      </c>
      <c r="E64">
        <v>305520.44</v>
      </c>
    </row>
    <row r="65" spans="4:5" x14ac:dyDescent="0.35">
      <c r="D65">
        <v>4509</v>
      </c>
      <c r="E65">
        <v>301121.39</v>
      </c>
    </row>
    <row r="66" spans="4:5" x14ac:dyDescent="0.35">
      <c r="D66">
        <v>2527</v>
      </c>
      <c r="E66">
        <v>297767.71000000002</v>
      </c>
    </row>
    <row r="67" spans="4:5" x14ac:dyDescent="0.35">
      <c r="D67">
        <v>2522</v>
      </c>
      <c r="E67">
        <v>297045.58</v>
      </c>
    </row>
    <row r="68" spans="4:5" x14ac:dyDescent="0.35">
      <c r="D68">
        <v>2513</v>
      </c>
      <c r="E68">
        <v>294364.55</v>
      </c>
    </row>
    <row r="69" spans="4:5" x14ac:dyDescent="0.35">
      <c r="D69">
        <v>2624</v>
      </c>
      <c r="E69">
        <v>287711.2</v>
      </c>
    </row>
    <row r="70" spans="4:5" x14ac:dyDescent="0.35">
      <c r="D70">
        <v>2130</v>
      </c>
      <c r="E70">
        <v>284810.67</v>
      </c>
    </row>
    <row r="71" spans="4:5" x14ac:dyDescent="0.35">
      <c r="D71">
        <v>3670</v>
      </c>
      <c r="E71">
        <v>275504.94</v>
      </c>
    </row>
    <row r="72" spans="4:5" x14ac:dyDescent="0.35">
      <c r="D72">
        <v>2954</v>
      </c>
      <c r="E72">
        <v>271251.09999999998</v>
      </c>
    </row>
    <row r="73" spans="4:5" x14ac:dyDescent="0.35">
      <c r="D73">
        <v>2413</v>
      </c>
      <c r="E73">
        <v>270213.63</v>
      </c>
    </row>
    <row r="74" spans="4:5" x14ac:dyDescent="0.35">
      <c r="D74">
        <v>3644</v>
      </c>
      <c r="E74">
        <v>259320.91</v>
      </c>
    </row>
    <row r="75" spans="4:5" x14ac:dyDescent="0.35">
      <c r="D75">
        <v>3562</v>
      </c>
      <c r="E75">
        <v>259114.3</v>
      </c>
    </row>
    <row r="76" spans="4:5" x14ac:dyDescent="0.35">
      <c r="D76">
        <v>2191</v>
      </c>
      <c r="E76">
        <v>257335.8</v>
      </c>
    </row>
    <row r="77" spans="4:5" x14ac:dyDescent="0.35">
      <c r="D77">
        <v>2588</v>
      </c>
      <c r="E77">
        <v>256943.65</v>
      </c>
    </row>
    <row r="78" spans="4:5" x14ac:dyDescent="0.35">
      <c r="D78">
        <v>2643</v>
      </c>
      <c r="E78">
        <v>254434.02</v>
      </c>
    </row>
    <row r="79" spans="4:5" x14ac:dyDescent="0.35">
      <c r="D79">
        <v>2571</v>
      </c>
      <c r="E79">
        <v>252969.46</v>
      </c>
    </row>
    <row r="80" spans="4:5" x14ac:dyDescent="0.35">
      <c r="D80">
        <v>2651</v>
      </c>
      <c r="E80">
        <v>250463.31</v>
      </c>
    </row>
    <row r="81" spans="4:5" x14ac:dyDescent="0.35">
      <c r="D81">
        <v>2535</v>
      </c>
      <c r="E81">
        <v>246992.1</v>
      </c>
    </row>
    <row r="82" spans="4:5" x14ac:dyDescent="0.35">
      <c r="D82">
        <v>2536</v>
      </c>
      <c r="E82">
        <v>243876.6</v>
      </c>
    </row>
    <row r="83" spans="4:5" x14ac:dyDescent="0.35">
      <c r="D83">
        <v>2582</v>
      </c>
      <c r="E83">
        <v>241394.3</v>
      </c>
    </row>
    <row r="84" spans="4:5" x14ac:dyDescent="0.35">
      <c r="D84">
        <v>2517</v>
      </c>
      <c r="E84">
        <v>239744.05</v>
      </c>
    </row>
    <row r="85" spans="4:5" x14ac:dyDescent="0.35">
      <c r="D85">
        <v>4209</v>
      </c>
      <c r="E85">
        <v>237577.44</v>
      </c>
    </row>
    <row r="86" spans="4:5" x14ac:dyDescent="0.35">
      <c r="D86">
        <v>3477</v>
      </c>
      <c r="E86">
        <v>235344.06</v>
      </c>
    </row>
    <row r="87" spans="4:5" x14ac:dyDescent="0.35">
      <c r="D87">
        <v>3769</v>
      </c>
      <c r="E87">
        <v>232674.5</v>
      </c>
    </row>
    <row r="88" spans="4:5" x14ac:dyDescent="0.35">
      <c r="D88">
        <v>2649</v>
      </c>
      <c r="E88">
        <v>231663.82</v>
      </c>
    </row>
    <row r="89" spans="4:5" x14ac:dyDescent="0.35">
      <c r="D89">
        <v>2621</v>
      </c>
      <c r="E89">
        <v>229371</v>
      </c>
    </row>
    <row r="90" spans="4:5" x14ac:dyDescent="0.35">
      <c r="D90">
        <v>3868</v>
      </c>
      <c r="E90">
        <v>226953.84</v>
      </c>
    </row>
    <row r="91" spans="4:5" x14ac:dyDescent="0.35">
      <c r="D91">
        <v>2565</v>
      </c>
      <c r="E91">
        <v>221079.75</v>
      </c>
    </row>
    <row r="92" spans="4:5" x14ac:dyDescent="0.35">
      <c r="D92">
        <v>2549</v>
      </c>
      <c r="E92">
        <v>220763.1</v>
      </c>
    </row>
    <row r="93" spans="4:5" x14ac:dyDescent="0.35">
      <c r="D93">
        <v>3456</v>
      </c>
      <c r="E93">
        <v>217819.99</v>
      </c>
    </row>
    <row r="94" spans="4:5" x14ac:dyDescent="0.35">
      <c r="D94">
        <v>2558</v>
      </c>
      <c r="E94">
        <v>216623.39</v>
      </c>
    </row>
    <row r="95" spans="4:5" x14ac:dyDescent="0.35">
      <c r="D95">
        <v>3618</v>
      </c>
      <c r="E95">
        <v>215830.16</v>
      </c>
    </row>
    <row r="96" spans="4:5" x14ac:dyDescent="0.35">
      <c r="D96">
        <v>3757</v>
      </c>
      <c r="E96">
        <v>208226.58</v>
      </c>
    </row>
    <row r="97" spans="4:5" x14ac:dyDescent="0.35">
      <c r="D97">
        <v>2959</v>
      </c>
      <c r="E97">
        <v>207232.73</v>
      </c>
    </row>
    <row r="98" spans="4:5" x14ac:dyDescent="0.35">
      <c r="D98">
        <v>2622</v>
      </c>
      <c r="E98">
        <v>206973.8</v>
      </c>
    </row>
    <row r="99" spans="4:5" x14ac:dyDescent="0.35">
      <c r="D99">
        <v>2538</v>
      </c>
      <c r="E99">
        <v>206188.68</v>
      </c>
    </row>
    <row r="100" spans="4:5" x14ac:dyDescent="0.35">
      <c r="D100">
        <v>2636</v>
      </c>
      <c r="E100">
        <v>206036.33</v>
      </c>
    </row>
    <row r="101" spans="4:5" x14ac:dyDescent="0.35">
      <c r="D101">
        <v>2652</v>
      </c>
      <c r="E101">
        <v>205814.38</v>
      </c>
    </row>
    <row r="102" spans="4:5" x14ac:dyDescent="0.35">
      <c r="D102">
        <v>3925</v>
      </c>
      <c r="E102">
        <v>205119.3</v>
      </c>
    </row>
    <row r="103" spans="4:5" x14ac:dyDescent="0.35">
      <c r="D103">
        <v>3625</v>
      </c>
      <c r="E103">
        <v>201521.34</v>
      </c>
    </row>
    <row r="104" spans="4:5" x14ac:dyDescent="0.35">
      <c r="D104">
        <v>2532</v>
      </c>
      <c r="E104">
        <v>199590</v>
      </c>
    </row>
    <row r="105" spans="4:5" x14ac:dyDescent="0.35">
      <c r="D105">
        <v>2595</v>
      </c>
      <c r="E105">
        <v>199305.12</v>
      </c>
    </row>
    <row r="106" spans="4:5" x14ac:dyDescent="0.35">
      <c r="D106">
        <v>2555</v>
      </c>
      <c r="E106">
        <v>198871.47</v>
      </c>
    </row>
    <row r="107" spans="4:5" x14ac:dyDescent="0.35">
      <c r="D107">
        <v>2248</v>
      </c>
      <c r="E107">
        <v>194000.02</v>
      </c>
    </row>
    <row r="108" spans="4:5" x14ac:dyDescent="0.35">
      <c r="D108">
        <v>4108</v>
      </c>
      <c r="E108">
        <v>192445.23</v>
      </c>
    </row>
    <row r="109" spans="4:5" x14ac:dyDescent="0.35">
      <c r="D109">
        <v>3899</v>
      </c>
      <c r="E109">
        <v>192389.14</v>
      </c>
    </row>
    <row r="110" spans="4:5" x14ac:dyDescent="0.35">
      <c r="D110">
        <v>2509</v>
      </c>
      <c r="E110">
        <v>191958.32</v>
      </c>
    </row>
    <row r="111" spans="4:5" x14ac:dyDescent="0.35">
      <c r="D111">
        <v>2569</v>
      </c>
      <c r="E111">
        <v>191077.56</v>
      </c>
    </row>
    <row r="112" spans="4:5" x14ac:dyDescent="0.35">
      <c r="D112">
        <v>2505</v>
      </c>
      <c r="E112">
        <v>189928.59</v>
      </c>
    </row>
    <row r="113" spans="4:5" x14ac:dyDescent="0.35">
      <c r="D113">
        <v>4648</v>
      </c>
      <c r="E113">
        <v>188542.88</v>
      </c>
    </row>
    <row r="114" spans="4:5" x14ac:dyDescent="0.35">
      <c r="D114">
        <v>3629</v>
      </c>
      <c r="E114">
        <v>188448.63</v>
      </c>
    </row>
    <row r="115" spans="4:5" x14ac:dyDescent="0.35">
      <c r="D115">
        <v>3628</v>
      </c>
      <c r="E115">
        <v>185679.38</v>
      </c>
    </row>
    <row r="116" spans="4:5" x14ac:dyDescent="0.35">
      <c r="D116">
        <v>2564</v>
      </c>
      <c r="E116">
        <v>184919.84</v>
      </c>
    </row>
    <row r="117" spans="4:5" x14ac:dyDescent="0.35">
      <c r="D117">
        <v>3721</v>
      </c>
      <c r="E117">
        <v>183501.24</v>
      </c>
    </row>
    <row r="118" spans="4:5" x14ac:dyDescent="0.35">
      <c r="D118">
        <v>3592</v>
      </c>
      <c r="E118">
        <v>182244.3</v>
      </c>
    </row>
    <row r="119" spans="4:5" x14ac:dyDescent="0.35">
      <c r="D119">
        <v>4615</v>
      </c>
      <c r="E119">
        <v>180625.12</v>
      </c>
    </row>
    <row r="120" spans="4:5" x14ac:dyDescent="0.35">
      <c r="D120">
        <v>3944</v>
      </c>
      <c r="E120">
        <v>179110.08</v>
      </c>
    </row>
    <row r="121" spans="4:5" x14ac:dyDescent="0.35">
      <c r="D121">
        <v>2578</v>
      </c>
      <c r="E121">
        <v>178646.46</v>
      </c>
    </row>
    <row r="122" spans="4:5" x14ac:dyDescent="0.35">
      <c r="D122">
        <v>3731</v>
      </c>
      <c r="E122">
        <v>178071.48</v>
      </c>
    </row>
    <row r="123" spans="4:5" x14ac:dyDescent="0.35">
      <c r="D123">
        <v>3632</v>
      </c>
      <c r="E123">
        <v>175283.24</v>
      </c>
    </row>
    <row r="124" spans="4:5" x14ac:dyDescent="0.35">
      <c r="D124">
        <v>4969</v>
      </c>
      <c r="E124">
        <v>175191.46</v>
      </c>
    </row>
    <row r="125" spans="4:5" x14ac:dyDescent="0.35">
      <c r="D125">
        <v>3622</v>
      </c>
      <c r="E125">
        <v>175052.7</v>
      </c>
    </row>
    <row r="126" spans="4:5" x14ac:dyDescent="0.35">
      <c r="D126">
        <v>2642</v>
      </c>
      <c r="E126">
        <v>174257.23</v>
      </c>
    </row>
    <row r="127" spans="4:5" x14ac:dyDescent="0.35">
      <c r="D127">
        <v>3647</v>
      </c>
      <c r="E127">
        <v>174256.14</v>
      </c>
    </row>
    <row r="128" spans="4:5" x14ac:dyDescent="0.35">
      <c r="D128">
        <v>2594</v>
      </c>
      <c r="E128">
        <v>172869.59</v>
      </c>
    </row>
    <row r="129" spans="4:5" x14ac:dyDescent="0.35">
      <c r="D129">
        <v>3838</v>
      </c>
      <c r="E129">
        <v>172593.8</v>
      </c>
    </row>
    <row r="130" spans="4:5" x14ac:dyDescent="0.35">
      <c r="D130">
        <v>2567</v>
      </c>
      <c r="E130">
        <v>170750.36</v>
      </c>
    </row>
    <row r="131" spans="4:5" x14ac:dyDescent="0.35">
      <c r="D131">
        <v>3663</v>
      </c>
      <c r="E131">
        <v>170691.3</v>
      </c>
    </row>
    <row r="132" spans="4:5" x14ac:dyDescent="0.35">
      <c r="D132">
        <v>2568</v>
      </c>
      <c r="E132">
        <v>169890.24</v>
      </c>
    </row>
    <row r="133" spans="4:5" x14ac:dyDescent="0.35">
      <c r="D133">
        <v>3776</v>
      </c>
      <c r="E133">
        <v>166155.04</v>
      </c>
    </row>
    <row r="134" spans="4:5" x14ac:dyDescent="0.35">
      <c r="D134">
        <v>2662</v>
      </c>
      <c r="E134">
        <v>165523.03</v>
      </c>
    </row>
    <row r="135" spans="4:5" x14ac:dyDescent="0.35">
      <c r="D135">
        <v>2545</v>
      </c>
      <c r="E135">
        <v>165044.01999999999</v>
      </c>
    </row>
    <row r="136" spans="4:5" x14ac:dyDescent="0.35">
      <c r="D136">
        <v>2604</v>
      </c>
      <c r="E136">
        <v>164517.21</v>
      </c>
    </row>
    <row r="137" spans="4:5" x14ac:dyDescent="0.35">
      <c r="D137">
        <v>3573</v>
      </c>
      <c r="E137">
        <v>158474.87</v>
      </c>
    </row>
    <row r="138" spans="4:5" x14ac:dyDescent="0.35">
      <c r="D138">
        <v>4612</v>
      </c>
      <c r="E138">
        <v>156533.03</v>
      </c>
    </row>
    <row r="139" spans="4:5" x14ac:dyDescent="0.35">
      <c r="D139">
        <v>3805</v>
      </c>
      <c r="E139">
        <v>156334.71</v>
      </c>
    </row>
    <row r="140" spans="4:5" x14ac:dyDescent="0.35">
      <c r="D140">
        <v>4652</v>
      </c>
      <c r="E140">
        <v>155975.76</v>
      </c>
    </row>
    <row r="141" spans="4:5" x14ac:dyDescent="0.35">
      <c r="D141">
        <v>3995</v>
      </c>
      <c r="E141">
        <v>153389.54999999999</v>
      </c>
    </row>
    <row r="142" spans="4:5" x14ac:dyDescent="0.35">
      <c r="D142">
        <v>3563</v>
      </c>
      <c r="E142">
        <v>152517.9</v>
      </c>
    </row>
    <row r="143" spans="4:5" x14ac:dyDescent="0.35">
      <c r="D143">
        <v>2529</v>
      </c>
      <c r="E143">
        <v>152314.20000000001</v>
      </c>
    </row>
    <row r="144" spans="4:5" x14ac:dyDescent="0.35">
      <c r="D144">
        <v>2514</v>
      </c>
      <c r="E144">
        <v>151778.09</v>
      </c>
    </row>
    <row r="145" spans="4:5" x14ac:dyDescent="0.35">
      <c r="D145">
        <v>2539</v>
      </c>
      <c r="E145">
        <v>150712.13</v>
      </c>
    </row>
    <row r="146" spans="4:5" x14ac:dyDescent="0.35">
      <c r="D146">
        <v>2285</v>
      </c>
      <c r="E146">
        <v>150071.71</v>
      </c>
    </row>
    <row r="147" spans="4:5" x14ac:dyDescent="0.35">
      <c r="D147">
        <v>4004</v>
      </c>
      <c r="E147">
        <v>150045.35999999999</v>
      </c>
    </row>
    <row r="148" spans="4:5" x14ac:dyDescent="0.35">
      <c r="D148">
        <v>2618</v>
      </c>
      <c r="E148">
        <v>148904.04</v>
      </c>
    </row>
    <row r="149" spans="4:5" x14ac:dyDescent="0.35">
      <c r="D149">
        <v>2962</v>
      </c>
      <c r="E149">
        <v>148767.95000000001</v>
      </c>
    </row>
    <row r="150" spans="4:5" x14ac:dyDescent="0.35">
      <c r="D150">
        <v>4129</v>
      </c>
      <c r="E150">
        <v>144012.1</v>
      </c>
    </row>
    <row r="151" spans="4:5" x14ac:dyDescent="0.35">
      <c r="D151">
        <v>4638</v>
      </c>
      <c r="E151">
        <v>143080.85999999999</v>
      </c>
    </row>
    <row r="152" spans="4:5" x14ac:dyDescent="0.35">
      <c r="D152">
        <v>2487</v>
      </c>
      <c r="E152">
        <v>142716.26</v>
      </c>
    </row>
    <row r="153" spans="4:5" x14ac:dyDescent="0.35">
      <c r="D153">
        <v>2641</v>
      </c>
      <c r="E153">
        <v>142667.76</v>
      </c>
    </row>
    <row r="154" spans="4:5" x14ac:dyDescent="0.35">
      <c r="D154">
        <v>3713</v>
      </c>
      <c r="E154">
        <v>140511.29999999999</v>
      </c>
    </row>
    <row r="155" spans="4:5" x14ac:dyDescent="0.35">
      <c r="D155">
        <v>2575</v>
      </c>
      <c r="E155">
        <v>140437.04999999999</v>
      </c>
    </row>
    <row r="156" spans="4:5" x14ac:dyDescent="0.35">
      <c r="D156">
        <v>2507</v>
      </c>
      <c r="E156">
        <v>139336.51999999999</v>
      </c>
    </row>
    <row r="157" spans="4:5" x14ac:dyDescent="0.35">
      <c r="D157">
        <v>2602</v>
      </c>
      <c r="E157">
        <v>139204.60999999999</v>
      </c>
    </row>
    <row r="158" spans="4:5" x14ac:dyDescent="0.35">
      <c r="D158">
        <v>2585</v>
      </c>
      <c r="E158">
        <v>138236.87</v>
      </c>
    </row>
    <row r="159" spans="4:5" x14ac:dyDescent="0.35">
      <c r="D159">
        <v>2543</v>
      </c>
      <c r="E159">
        <v>138126.04999999999</v>
      </c>
    </row>
    <row r="160" spans="4:5" x14ac:dyDescent="0.35">
      <c r="D160">
        <v>4827</v>
      </c>
      <c r="E160">
        <v>137540.28</v>
      </c>
    </row>
    <row r="161" spans="4:5" x14ac:dyDescent="0.35">
      <c r="D161">
        <v>3762</v>
      </c>
      <c r="E161">
        <v>137197.45000000001</v>
      </c>
    </row>
    <row r="162" spans="4:5" x14ac:dyDescent="0.35">
      <c r="D162">
        <v>2353</v>
      </c>
      <c r="E162">
        <v>137145.14000000001</v>
      </c>
    </row>
    <row r="163" spans="4:5" x14ac:dyDescent="0.35">
      <c r="D163">
        <v>3645</v>
      </c>
      <c r="E163">
        <v>137070.41</v>
      </c>
    </row>
    <row r="164" spans="4:5" x14ac:dyDescent="0.35">
      <c r="D164">
        <v>3722</v>
      </c>
      <c r="E164">
        <v>135232.74</v>
      </c>
    </row>
    <row r="165" spans="4:5" x14ac:dyDescent="0.35">
      <c r="D165">
        <v>2806</v>
      </c>
      <c r="E165">
        <v>135099.53</v>
      </c>
    </row>
    <row r="166" spans="4:5" x14ac:dyDescent="0.35">
      <c r="D166">
        <v>4481</v>
      </c>
      <c r="E166">
        <v>134248.54999999999</v>
      </c>
    </row>
    <row r="167" spans="4:5" x14ac:dyDescent="0.35">
      <c r="D167">
        <v>3443</v>
      </c>
      <c r="E167">
        <v>133422.13</v>
      </c>
    </row>
    <row r="168" spans="4:5" x14ac:dyDescent="0.35">
      <c r="D168">
        <v>4057</v>
      </c>
      <c r="E168">
        <v>133408.51999999999</v>
      </c>
    </row>
    <row r="169" spans="4:5" x14ac:dyDescent="0.35">
      <c r="D169">
        <v>4062</v>
      </c>
      <c r="E169">
        <v>132290.18</v>
      </c>
    </row>
    <row r="170" spans="4:5" x14ac:dyDescent="0.35">
      <c r="D170">
        <v>2562</v>
      </c>
      <c r="E170">
        <v>132067.07999999999</v>
      </c>
    </row>
    <row r="171" spans="4:5" x14ac:dyDescent="0.35">
      <c r="D171">
        <v>3400</v>
      </c>
      <c r="E171">
        <v>130690.06</v>
      </c>
    </row>
    <row r="172" spans="4:5" x14ac:dyDescent="0.35">
      <c r="D172">
        <v>2290</v>
      </c>
      <c r="E172">
        <v>129683.35</v>
      </c>
    </row>
    <row r="173" spans="4:5" x14ac:dyDescent="0.35">
      <c r="D173">
        <v>2591</v>
      </c>
      <c r="E173">
        <v>127880.13</v>
      </c>
    </row>
    <row r="174" spans="4:5" x14ac:dyDescent="0.35">
      <c r="D174">
        <v>4112</v>
      </c>
      <c r="E174">
        <v>127281.48</v>
      </c>
    </row>
    <row r="175" spans="4:5" x14ac:dyDescent="0.35">
      <c r="D175">
        <v>4697</v>
      </c>
      <c r="E175">
        <v>126593.09</v>
      </c>
    </row>
    <row r="176" spans="4:5" x14ac:dyDescent="0.35">
      <c r="D176">
        <v>4073</v>
      </c>
      <c r="E176">
        <v>126577.64</v>
      </c>
    </row>
    <row r="177" spans="4:5" x14ac:dyDescent="0.35">
      <c r="D177">
        <v>2955</v>
      </c>
      <c r="E177">
        <v>126278.68</v>
      </c>
    </row>
    <row r="178" spans="4:5" x14ac:dyDescent="0.35">
      <c r="D178">
        <v>2601</v>
      </c>
      <c r="E178">
        <v>125876.05</v>
      </c>
    </row>
    <row r="179" spans="4:5" x14ac:dyDescent="0.35">
      <c r="D179">
        <v>4297</v>
      </c>
      <c r="E179">
        <v>122352.04</v>
      </c>
    </row>
    <row r="180" spans="4:5" x14ac:dyDescent="0.35">
      <c r="D180">
        <v>3626</v>
      </c>
      <c r="E180">
        <v>121866.24000000001</v>
      </c>
    </row>
    <row r="181" spans="4:5" x14ac:dyDescent="0.35">
      <c r="D181">
        <v>2650</v>
      </c>
      <c r="E181">
        <v>121823.91</v>
      </c>
    </row>
    <row r="182" spans="4:5" x14ac:dyDescent="0.35">
      <c r="D182">
        <v>2963</v>
      </c>
      <c r="E182">
        <v>120516.91</v>
      </c>
    </row>
    <row r="183" spans="4:5" x14ac:dyDescent="0.35">
      <c r="D183">
        <v>2606</v>
      </c>
      <c r="E183">
        <v>119663.42</v>
      </c>
    </row>
    <row r="184" spans="4:5" x14ac:dyDescent="0.35">
      <c r="D184">
        <v>4794</v>
      </c>
      <c r="E184">
        <v>118173.49</v>
      </c>
    </row>
    <row r="185" spans="4:5" x14ac:dyDescent="0.35">
      <c r="D185">
        <v>4140</v>
      </c>
      <c r="E185">
        <v>117241.94</v>
      </c>
    </row>
    <row r="186" spans="4:5" x14ac:dyDescent="0.35">
      <c r="D186">
        <v>3525</v>
      </c>
      <c r="E186">
        <v>115508.22</v>
      </c>
    </row>
    <row r="187" spans="4:5" x14ac:dyDescent="0.35">
      <c r="D187">
        <v>3869</v>
      </c>
      <c r="E187">
        <v>115146.7</v>
      </c>
    </row>
    <row r="188" spans="4:5" x14ac:dyDescent="0.35">
      <c r="D188">
        <v>4308</v>
      </c>
      <c r="E188">
        <v>114835.58</v>
      </c>
    </row>
    <row r="189" spans="4:5" x14ac:dyDescent="0.35">
      <c r="D189">
        <v>4764</v>
      </c>
      <c r="E189">
        <v>114783.1</v>
      </c>
    </row>
    <row r="190" spans="4:5" x14ac:dyDescent="0.35">
      <c r="D190">
        <v>3790</v>
      </c>
      <c r="E190">
        <v>114618</v>
      </c>
    </row>
    <row r="191" spans="4:5" x14ac:dyDescent="0.35">
      <c r="D191">
        <v>2233</v>
      </c>
      <c r="E191">
        <v>113089.21</v>
      </c>
    </row>
    <row r="192" spans="4:5" x14ac:dyDescent="0.35">
      <c r="D192">
        <v>2584</v>
      </c>
      <c r="E192">
        <v>112145.43</v>
      </c>
    </row>
    <row r="193" spans="4:5" x14ac:dyDescent="0.35">
      <c r="D193">
        <v>4988</v>
      </c>
      <c r="E193">
        <v>112060.47</v>
      </c>
    </row>
    <row r="194" spans="4:5" x14ac:dyDescent="0.35">
      <c r="D194">
        <v>3990</v>
      </c>
      <c r="E194">
        <v>111608.75</v>
      </c>
    </row>
    <row r="195" spans="4:5" x14ac:dyDescent="0.35">
      <c r="D195">
        <v>3993</v>
      </c>
      <c r="E195">
        <v>111321.78</v>
      </c>
    </row>
    <row r="196" spans="4:5" x14ac:dyDescent="0.35">
      <c r="D196">
        <v>2630</v>
      </c>
      <c r="E196">
        <v>111104.02</v>
      </c>
    </row>
    <row r="197" spans="4:5" x14ac:dyDescent="0.35">
      <c r="D197">
        <v>4012</v>
      </c>
      <c r="E197">
        <v>109553.51</v>
      </c>
    </row>
    <row r="198" spans="4:5" x14ac:dyDescent="0.35">
      <c r="D198">
        <v>4630</v>
      </c>
      <c r="E198">
        <v>109108.69</v>
      </c>
    </row>
    <row r="199" spans="4:5" x14ac:dyDescent="0.35">
      <c r="D199">
        <v>2566</v>
      </c>
      <c r="E199">
        <v>108999.55</v>
      </c>
    </row>
    <row r="200" spans="4:5" x14ac:dyDescent="0.35">
      <c r="D200">
        <v>3825</v>
      </c>
      <c r="E200">
        <v>108696.28</v>
      </c>
    </row>
    <row r="201" spans="4:5" x14ac:dyDescent="0.35">
      <c r="D201">
        <v>3612</v>
      </c>
      <c r="E201">
        <v>108449.47</v>
      </c>
    </row>
    <row r="202" spans="4:5" x14ac:dyDescent="0.35">
      <c r="D202">
        <v>4640</v>
      </c>
      <c r="E202">
        <v>107425.93</v>
      </c>
    </row>
    <row r="203" spans="4:5" x14ac:dyDescent="0.35">
      <c r="D203">
        <v>2576</v>
      </c>
      <c r="E203">
        <v>107029.99</v>
      </c>
    </row>
    <row r="204" spans="4:5" x14ac:dyDescent="0.35">
      <c r="D204">
        <v>2611</v>
      </c>
      <c r="E204">
        <v>106931.91</v>
      </c>
    </row>
    <row r="205" spans="4:5" x14ac:dyDescent="0.35">
      <c r="D205">
        <v>2953</v>
      </c>
      <c r="E205">
        <v>105720.44</v>
      </c>
    </row>
    <row r="206" spans="4:5" x14ac:dyDescent="0.35">
      <c r="D206">
        <v>4255</v>
      </c>
      <c r="E206">
        <v>105492.61</v>
      </c>
    </row>
    <row r="207" spans="4:5" x14ac:dyDescent="0.35">
      <c r="D207">
        <v>3719</v>
      </c>
      <c r="E207">
        <v>105320.28</v>
      </c>
    </row>
    <row r="208" spans="4:5" x14ac:dyDescent="0.35">
      <c r="D208">
        <v>4971</v>
      </c>
      <c r="E208">
        <v>105288.76</v>
      </c>
    </row>
    <row r="209" spans="4:5" x14ac:dyDescent="0.35">
      <c r="D209">
        <v>4183</v>
      </c>
      <c r="E209">
        <v>105153.82</v>
      </c>
    </row>
    <row r="210" spans="4:5" x14ac:dyDescent="0.35">
      <c r="D210">
        <v>3981</v>
      </c>
      <c r="E210">
        <v>105065.64</v>
      </c>
    </row>
    <row r="211" spans="4:5" x14ac:dyDescent="0.35">
      <c r="D211">
        <v>4959</v>
      </c>
      <c r="E211">
        <v>104822.26</v>
      </c>
    </row>
    <row r="212" spans="4:5" x14ac:dyDescent="0.35">
      <c r="D212">
        <v>2556</v>
      </c>
      <c r="E212">
        <v>103598.76</v>
      </c>
    </row>
    <row r="213" spans="4:5" x14ac:dyDescent="0.35">
      <c r="D213">
        <v>3859</v>
      </c>
      <c r="E213">
        <v>103585.8</v>
      </c>
    </row>
    <row r="214" spans="4:5" x14ac:dyDescent="0.35">
      <c r="D214">
        <v>4617</v>
      </c>
      <c r="E214">
        <v>102823.91</v>
      </c>
    </row>
    <row r="215" spans="4:5" x14ac:dyDescent="0.35">
      <c r="D215">
        <v>3666</v>
      </c>
      <c r="E215">
        <v>102184.74</v>
      </c>
    </row>
    <row r="216" spans="4:5" x14ac:dyDescent="0.35">
      <c r="D216">
        <v>4164</v>
      </c>
      <c r="E216">
        <v>101933.57</v>
      </c>
    </row>
    <row r="217" spans="4:5" x14ac:dyDescent="0.35">
      <c r="D217">
        <v>3732</v>
      </c>
      <c r="E217">
        <v>101805.13</v>
      </c>
    </row>
    <row r="218" spans="4:5" x14ac:dyDescent="0.35">
      <c r="D218">
        <v>3942</v>
      </c>
      <c r="E218">
        <v>99051.86</v>
      </c>
    </row>
    <row r="219" spans="4:5" x14ac:dyDescent="0.35">
      <c r="D219">
        <v>2554</v>
      </c>
      <c r="E219">
        <v>98854.64</v>
      </c>
    </row>
    <row r="220" spans="4:5" x14ac:dyDescent="0.35">
      <c r="D220">
        <v>2840</v>
      </c>
      <c r="E220">
        <v>98762</v>
      </c>
    </row>
    <row r="221" spans="4:5" x14ac:dyDescent="0.35">
      <c r="D221">
        <v>2579</v>
      </c>
      <c r="E221">
        <v>98373.34</v>
      </c>
    </row>
    <row r="222" spans="4:5" x14ac:dyDescent="0.35">
      <c r="D222">
        <v>2592</v>
      </c>
      <c r="E222">
        <v>97590</v>
      </c>
    </row>
    <row r="223" spans="4:5" x14ac:dyDescent="0.35">
      <c r="D223">
        <v>4104</v>
      </c>
      <c r="E223">
        <v>96700.479999999996</v>
      </c>
    </row>
    <row r="224" spans="4:5" x14ac:dyDescent="0.35">
      <c r="D224">
        <v>4288</v>
      </c>
      <c r="E224">
        <v>96668.46</v>
      </c>
    </row>
    <row r="225" spans="4:5" x14ac:dyDescent="0.35">
      <c r="D225">
        <v>3830</v>
      </c>
      <c r="E225">
        <v>96647.64</v>
      </c>
    </row>
    <row r="226" spans="4:5" x14ac:dyDescent="0.35">
      <c r="D226">
        <v>2551</v>
      </c>
      <c r="E226">
        <v>96461.9</v>
      </c>
    </row>
    <row r="227" spans="4:5" x14ac:dyDescent="0.35">
      <c r="D227">
        <v>2961</v>
      </c>
      <c r="E227">
        <v>96359.97</v>
      </c>
    </row>
    <row r="228" spans="4:5" x14ac:dyDescent="0.35">
      <c r="D228">
        <v>3806</v>
      </c>
      <c r="E228">
        <v>96095.64</v>
      </c>
    </row>
    <row r="229" spans="4:5" x14ac:dyDescent="0.35">
      <c r="D229">
        <v>4131</v>
      </c>
      <c r="E229">
        <v>95584</v>
      </c>
    </row>
    <row r="230" spans="4:5" x14ac:dyDescent="0.35">
      <c r="D230">
        <v>2523</v>
      </c>
      <c r="E230">
        <v>94644.29</v>
      </c>
    </row>
    <row r="231" spans="4:5" x14ac:dyDescent="0.35">
      <c r="D231">
        <v>3908</v>
      </c>
      <c r="E231">
        <v>94462.26</v>
      </c>
    </row>
    <row r="232" spans="4:5" x14ac:dyDescent="0.35">
      <c r="D232">
        <v>2607</v>
      </c>
      <c r="E232">
        <v>94129.27</v>
      </c>
    </row>
    <row r="233" spans="4:5" x14ac:dyDescent="0.35">
      <c r="D233">
        <v>3437</v>
      </c>
      <c r="E233">
        <v>93994.92</v>
      </c>
    </row>
    <row r="234" spans="4:5" x14ac:dyDescent="0.35">
      <c r="D234">
        <v>4068</v>
      </c>
      <c r="E234">
        <v>93458.35</v>
      </c>
    </row>
    <row r="235" spans="4:5" x14ac:dyDescent="0.35">
      <c r="D235">
        <v>4349</v>
      </c>
      <c r="E235">
        <v>92831.34</v>
      </c>
    </row>
    <row r="236" spans="4:5" x14ac:dyDescent="0.35">
      <c r="D236">
        <v>3417</v>
      </c>
      <c r="E236">
        <v>92294.57</v>
      </c>
    </row>
    <row r="237" spans="4:5" x14ac:dyDescent="0.35">
      <c r="D237">
        <v>3707</v>
      </c>
      <c r="E237">
        <v>92156.46</v>
      </c>
    </row>
    <row r="238" spans="4:5" x14ac:dyDescent="0.35">
      <c r="D238">
        <v>4743</v>
      </c>
      <c r="E238">
        <v>91399.19</v>
      </c>
    </row>
    <row r="239" spans="4:5" x14ac:dyDescent="0.35">
      <c r="D239">
        <v>3726</v>
      </c>
      <c r="E239">
        <v>91016.22</v>
      </c>
    </row>
    <row r="240" spans="4:5" x14ac:dyDescent="0.35">
      <c r="D240">
        <v>3451</v>
      </c>
      <c r="E240">
        <v>90897</v>
      </c>
    </row>
    <row r="241" spans="4:5" x14ac:dyDescent="0.35">
      <c r="D241">
        <v>2661</v>
      </c>
      <c r="E241">
        <v>89216.82</v>
      </c>
    </row>
    <row r="242" spans="4:5" x14ac:dyDescent="0.35">
      <c r="D242">
        <v>3847</v>
      </c>
      <c r="E242">
        <v>88970.2</v>
      </c>
    </row>
    <row r="243" spans="4:5" x14ac:dyDescent="0.35">
      <c r="D243">
        <v>3549</v>
      </c>
      <c r="E243">
        <v>88954.02</v>
      </c>
    </row>
    <row r="244" spans="4:5" x14ac:dyDescent="0.35">
      <c r="D244">
        <v>3819</v>
      </c>
      <c r="E244">
        <v>87912.49</v>
      </c>
    </row>
    <row r="245" spans="4:5" x14ac:dyDescent="0.35">
      <c r="D245">
        <v>2653</v>
      </c>
      <c r="E245">
        <v>87702.15</v>
      </c>
    </row>
    <row r="246" spans="4:5" x14ac:dyDescent="0.35">
      <c r="D246">
        <v>4015</v>
      </c>
      <c r="E246">
        <v>87551.1</v>
      </c>
    </row>
    <row r="247" spans="4:5" x14ac:dyDescent="0.35">
      <c r="D247">
        <v>4752</v>
      </c>
      <c r="E247">
        <v>87148.56</v>
      </c>
    </row>
    <row r="248" spans="4:5" x14ac:dyDescent="0.35">
      <c r="D248">
        <v>4019</v>
      </c>
      <c r="E248">
        <v>86899.08</v>
      </c>
    </row>
    <row r="249" spans="4:5" x14ac:dyDescent="0.35">
      <c r="D249">
        <v>4091</v>
      </c>
      <c r="E249">
        <v>86743.16</v>
      </c>
    </row>
    <row r="250" spans="4:5" x14ac:dyDescent="0.35">
      <c r="D250">
        <v>3811</v>
      </c>
      <c r="E250">
        <v>86078.76</v>
      </c>
    </row>
    <row r="251" spans="4:5" x14ac:dyDescent="0.35">
      <c r="D251">
        <v>3521</v>
      </c>
      <c r="E251">
        <v>86035.76</v>
      </c>
    </row>
    <row r="252" spans="4:5" x14ac:dyDescent="0.35">
      <c r="D252">
        <v>3691</v>
      </c>
      <c r="E252">
        <v>86006.1</v>
      </c>
    </row>
    <row r="253" spans="4:5" x14ac:dyDescent="0.35">
      <c r="D253">
        <v>4802</v>
      </c>
      <c r="E253">
        <v>85944.28</v>
      </c>
    </row>
    <row r="254" spans="4:5" x14ac:dyDescent="0.35">
      <c r="D254">
        <v>4156</v>
      </c>
      <c r="E254">
        <v>85841.95</v>
      </c>
    </row>
    <row r="255" spans="4:5" x14ac:dyDescent="0.35">
      <c r="D255">
        <v>9002</v>
      </c>
      <c r="E255">
        <v>85361.56</v>
      </c>
    </row>
    <row r="256" spans="4:5" x14ac:dyDescent="0.35">
      <c r="D256">
        <v>4897</v>
      </c>
      <c r="E256">
        <v>85297.61</v>
      </c>
    </row>
    <row r="257" spans="4:5" x14ac:dyDescent="0.35">
      <c r="D257">
        <v>2958</v>
      </c>
      <c r="E257">
        <v>85057.19</v>
      </c>
    </row>
    <row r="258" spans="4:5" x14ac:dyDescent="0.35">
      <c r="D258">
        <v>4265</v>
      </c>
      <c r="E258">
        <v>85054.67</v>
      </c>
    </row>
    <row r="259" spans="4:5" x14ac:dyDescent="0.35">
      <c r="D259">
        <v>4147</v>
      </c>
      <c r="E259">
        <v>84877.63</v>
      </c>
    </row>
    <row r="260" spans="4:5" x14ac:dyDescent="0.35">
      <c r="D260">
        <v>3785</v>
      </c>
      <c r="E260">
        <v>84331.78</v>
      </c>
    </row>
    <row r="261" spans="4:5" x14ac:dyDescent="0.35">
      <c r="D261">
        <v>3986</v>
      </c>
      <c r="E261">
        <v>84144.4</v>
      </c>
    </row>
    <row r="262" spans="4:5" x14ac:dyDescent="0.35">
      <c r="D262">
        <v>2951</v>
      </c>
      <c r="E262">
        <v>83976.82</v>
      </c>
    </row>
    <row r="263" spans="4:5" x14ac:dyDescent="0.35">
      <c r="D263">
        <v>3514</v>
      </c>
      <c r="E263">
        <v>83728.23</v>
      </c>
    </row>
    <row r="264" spans="4:5" x14ac:dyDescent="0.35">
      <c r="D264">
        <v>3881</v>
      </c>
      <c r="E264">
        <v>83407.990000000005</v>
      </c>
    </row>
    <row r="265" spans="4:5" x14ac:dyDescent="0.35">
      <c r="D265">
        <v>4847</v>
      </c>
      <c r="E265">
        <v>82880.27</v>
      </c>
    </row>
    <row r="266" spans="4:5" x14ac:dyDescent="0.35">
      <c r="D266">
        <v>4426</v>
      </c>
      <c r="E266">
        <v>82815.899999999994</v>
      </c>
    </row>
    <row r="267" spans="4:5" x14ac:dyDescent="0.35">
      <c r="D267">
        <v>4023</v>
      </c>
      <c r="E267">
        <v>82354.92</v>
      </c>
    </row>
    <row r="268" spans="4:5" x14ac:dyDescent="0.35">
      <c r="D268">
        <v>3723</v>
      </c>
      <c r="E268">
        <v>81928.5</v>
      </c>
    </row>
    <row r="269" spans="4:5" x14ac:dyDescent="0.35">
      <c r="D269">
        <v>4214</v>
      </c>
      <c r="E269">
        <v>81643.17</v>
      </c>
    </row>
    <row r="270" spans="4:5" x14ac:dyDescent="0.35">
      <c r="D270">
        <v>4935</v>
      </c>
      <c r="E270">
        <v>81623.929999999993</v>
      </c>
    </row>
    <row r="271" spans="4:5" x14ac:dyDescent="0.35">
      <c r="D271">
        <v>4001</v>
      </c>
      <c r="E271">
        <v>81488.94</v>
      </c>
    </row>
    <row r="272" spans="4:5" x14ac:dyDescent="0.35">
      <c r="D272">
        <v>2612</v>
      </c>
      <c r="E272">
        <v>81439.55</v>
      </c>
    </row>
    <row r="273" spans="4:5" x14ac:dyDescent="0.35">
      <c r="D273">
        <v>4196</v>
      </c>
      <c r="E273">
        <v>80978.899999999994</v>
      </c>
    </row>
    <row r="274" spans="4:5" x14ac:dyDescent="0.35">
      <c r="D274">
        <v>3888</v>
      </c>
      <c r="E274">
        <v>80872.5</v>
      </c>
    </row>
    <row r="275" spans="4:5" x14ac:dyDescent="0.35">
      <c r="D275">
        <v>3886</v>
      </c>
      <c r="E275">
        <v>80841.179999999993</v>
      </c>
    </row>
    <row r="276" spans="4:5" x14ac:dyDescent="0.35">
      <c r="D276">
        <v>3715</v>
      </c>
      <c r="E276">
        <v>80445.25</v>
      </c>
    </row>
    <row r="277" spans="4:5" x14ac:dyDescent="0.35">
      <c r="D277">
        <v>3774</v>
      </c>
      <c r="E277">
        <v>80295.97</v>
      </c>
    </row>
    <row r="278" spans="4:5" x14ac:dyDescent="0.35">
      <c r="D278">
        <v>3857</v>
      </c>
      <c r="E278">
        <v>80214.740000000005</v>
      </c>
    </row>
    <row r="279" spans="4:5" x14ac:dyDescent="0.35">
      <c r="D279">
        <v>4962</v>
      </c>
      <c r="E279">
        <v>80140.160000000003</v>
      </c>
    </row>
    <row r="280" spans="4:5" x14ac:dyDescent="0.35">
      <c r="D280">
        <v>3789</v>
      </c>
      <c r="E280">
        <v>79632.929999999993</v>
      </c>
    </row>
    <row r="281" spans="4:5" x14ac:dyDescent="0.35">
      <c r="D281">
        <v>4311</v>
      </c>
      <c r="E281">
        <v>79177.240000000005</v>
      </c>
    </row>
    <row r="282" spans="4:5" x14ac:dyDescent="0.35">
      <c r="D282">
        <v>2510</v>
      </c>
      <c r="E282">
        <v>79031.960000000006</v>
      </c>
    </row>
    <row r="283" spans="4:5" x14ac:dyDescent="0.35">
      <c r="D283">
        <v>4604</v>
      </c>
      <c r="E283">
        <v>78709.8</v>
      </c>
    </row>
    <row r="284" spans="4:5" x14ac:dyDescent="0.35">
      <c r="D284">
        <v>4997</v>
      </c>
      <c r="E284">
        <v>78528.12</v>
      </c>
    </row>
    <row r="285" spans="4:5" x14ac:dyDescent="0.35">
      <c r="D285">
        <v>4277</v>
      </c>
      <c r="E285">
        <v>78507.73</v>
      </c>
    </row>
    <row r="286" spans="4:5" x14ac:dyDescent="0.35">
      <c r="D286">
        <v>3352</v>
      </c>
      <c r="E286">
        <v>78456.91</v>
      </c>
    </row>
    <row r="287" spans="4:5" x14ac:dyDescent="0.35">
      <c r="D287">
        <v>3858</v>
      </c>
      <c r="E287">
        <v>78336</v>
      </c>
    </row>
    <row r="288" spans="4:5" x14ac:dyDescent="0.35">
      <c r="D288">
        <v>3651</v>
      </c>
      <c r="E288">
        <v>78243.12</v>
      </c>
    </row>
    <row r="289" spans="4:5" x14ac:dyDescent="0.35">
      <c r="D289">
        <v>4083</v>
      </c>
      <c r="E289">
        <v>77526.34</v>
      </c>
    </row>
    <row r="290" spans="4:5" x14ac:dyDescent="0.35">
      <c r="D290">
        <v>3656</v>
      </c>
      <c r="E290">
        <v>77077.740000000005</v>
      </c>
    </row>
    <row r="291" spans="4:5" x14ac:dyDescent="0.35">
      <c r="D291">
        <v>3495</v>
      </c>
      <c r="E291">
        <v>76630</v>
      </c>
    </row>
    <row r="292" spans="4:5" x14ac:dyDescent="0.35">
      <c r="D292">
        <v>3740</v>
      </c>
      <c r="E292">
        <v>76601.64</v>
      </c>
    </row>
    <row r="293" spans="4:5" x14ac:dyDescent="0.35">
      <c r="D293">
        <v>3896</v>
      </c>
      <c r="E293">
        <v>76576.63</v>
      </c>
    </row>
    <row r="294" spans="4:5" x14ac:dyDescent="0.35">
      <c r="D294">
        <v>3749</v>
      </c>
      <c r="E294">
        <v>76448.039999999994</v>
      </c>
    </row>
    <row r="295" spans="4:5" x14ac:dyDescent="0.35">
      <c r="D295">
        <v>4021</v>
      </c>
      <c r="E295">
        <v>76414.320000000007</v>
      </c>
    </row>
    <row r="296" spans="4:5" x14ac:dyDescent="0.35">
      <c r="D296">
        <v>2478</v>
      </c>
      <c r="E296">
        <v>76070.490000000005</v>
      </c>
    </row>
    <row r="297" spans="4:5" x14ac:dyDescent="0.35">
      <c r="D297">
        <v>2553</v>
      </c>
      <c r="E297">
        <v>76040.27</v>
      </c>
    </row>
    <row r="298" spans="4:5" x14ac:dyDescent="0.35">
      <c r="D298">
        <v>3949</v>
      </c>
      <c r="E298">
        <v>75219.06</v>
      </c>
    </row>
    <row r="299" spans="4:5" x14ac:dyDescent="0.35">
      <c r="D299">
        <v>4678</v>
      </c>
      <c r="E299">
        <v>75002.95</v>
      </c>
    </row>
    <row r="300" spans="4:5" x14ac:dyDescent="0.35">
      <c r="D300">
        <v>4478</v>
      </c>
      <c r="E300">
        <v>74493.14</v>
      </c>
    </row>
    <row r="301" spans="4:5" x14ac:dyDescent="0.35">
      <c r="D301">
        <v>3728</v>
      </c>
      <c r="E301">
        <v>74102.539999999994</v>
      </c>
    </row>
    <row r="302" spans="4:5" x14ac:dyDescent="0.35">
      <c r="D302">
        <v>4947</v>
      </c>
      <c r="E302">
        <v>73918.02</v>
      </c>
    </row>
    <row r="303" spans="4:5" x14ac:dyDescent="0.35">
      <c r="D303">
        <v>4203</v>
      </c>
      <c r="E303">
        <v>73872.86</v>
      </c>
    </row>
    <row r="304" spans="4:5" x14ac:dyDescent="0.35">
      <c r="D304">
        <v>3853</v>
      </c>
      <c r="E304">
        <v>73627.86</v>
      </c>
    </row>
    <row r="305" spans="4:5" x14ac:dyDescent="0.35">
      <c r="D305">
        <v>4742</v>
      </c>
      <c r="E305">
        <v>73350.78</v>
      </c>
    </row>
    <row r="306" spans="4:5" x14ac:dyDescent="0.35">
      <c r="D306">
        <v>3735</v>
      </c>
      <c r="E306">
        <v>73322.38</v>
      </c>
    </row>
    <row r="307" spans="4:5" x14ac:dyDescent="0.35">
      <c r="D307">
        <v>3682</v>
      </c>
      <c r="E307">
        <v>73136.66</v>
      </c>
    </row>
    <row r="308" spans="4:5" x14ac:dyDescent="0.35">
      <c r="D308">
        <v>3934</v>
      </c>
      <c r="E308">
        <v>71860.98</v>
      </c>
    </row>
    <row r="309" spans="4:5" x14ac:dyDescent="0.35">
      <c r="D309">
        <v>3889</v>
      </c>
      <c r="E309">
        <v>71614.5</v>
      </c>
    </row>
    <row r="310" spans="4:5" x14ac:dyDescent="0.35">
      <c r="D310">
        <v>2596</v>
      </c>
      <c r="E310">
        <v>71594.78</v>
      </c>
    </row>
    <row r="311" spans="4:5" x14ac:dyDescent="0.35">
      <c r="D311">
        <v>4228</v>
      </c>
      <c r="E311">
        <v>71404.039999999994</v>
      </c>
    </row>
    <row r="312" spans="4:5" x14ac:dyDescent="0.35">
      <c r="D312">
        <v>3565</v>
      </c>
      <c r="E312">
        <v>70622.89</v>
      </c>
    </row>
    <row r="313" spans="4:5" x14ac:dyDescent="0.35">
      <c r="D313">
        <v>3833</v>
      </c>
      <c r="E313">
        <v>70602.960000000006</v>
      </c>
    </row>
    <row r="314" spans="4:5" x14ac:dyDescent="0.35">
      <c r="D314">
        <v>4136</v>
      </c>
      <c r="E314">
        <v>70442.19</v>
      </c>
    </row>
    <row r="315" spans="4:5" x14ac:dyDescent="0.35">
      <c r="D315">
        <v>4588</v>
      </c>
      <c r="E315">
        <v>69945.899999999994</v>
      </c>
    </row>
    <row r="316" spans="4:5" x14ac:dyDescent="0.35">
      <c r="D316">
        <v>4320</v>
      </c>
      <c r="E316">
        <v>69859.17</v>
      </c>
    </row>
    <row r="317" spans="4:5" x14ac:dyDescent="0.35">
      <c r="D317">
        <v>4900</v>
      </c>
      <c r="E317">
        <v>69553.58</v>
      </c>
    </row>
    <row r="318" spans="4:5" x14ac:dyDescent="0.35">
      <c r="D318">
        <v>3624</v>
      </c>
      <c r="E318">
        <v>69180.899999999994</v>
      </c>
    </row>
    <row r="319" spans="4:5" x14ac:dyDescent="0.35">
      <c r="D319">
        <v>2600</v>
      </c>
      <c r="E319">
        <v>68488.11</v>
      </c>
    </row>
    <row r="320" spans="4:5" x14ac:dyDescent="0.35">
      <c r="D320">
        <v>2670</v>
      </c>
      <c r="E320">
        <v>68183.490000000005</v>
      </c>
    </row>
    <row r="321" spans="4:5" x14ac:dyDescent="0.35">
      <c r="D321">
        <v>3738</v>
      </c>
      <c r="E321">
        <v>68031.06</v>
      </c>
    </row>
    <row r="322" spans="4:5" x14ac:dyDescent="0.35">
      <c r="D322">
        <v>4644</v>
      </c>
      <c r="E322">
        <v>67847.73</v>
      </c>
    </row>
    <row r="323" spans="4:5" x14ac:dyDescent="0.35">
      <c r="D323">
        <v>4092</v>
      </c>
      <c r="E323">
        <v>67838.62</v>
      </c>
    </row>
    <row r="324" spans="4:5" x14ac:dyDescent="0.35">
      <c r="D324">
        <v>2178</v>
      </c>
      <c r="E324">
        <v>66977.600000000006</v>
      </c>
    </row>
    <row r="325" spans="4:5" x14ac:dyDescent="0.35">
      <c r="D325">
        <v>4876</v>
      </c>
      <c r="E325">
        <v>66558.3</v>
      </c>
    </row>
    <row r="326" spans="4:5" x14ac:dyDescent="0.35">
      <c r="D326">
        <v>3162</v>
      </c>
      <c r="E326">
        <v>66467.62</v>
      </c>
    </row>
    <row r="327" spans="4:5" x14ac:dyDescent="0.35">
      <c r="D327">
        <v>4251</v>
      </c>
      <c r="E327">
        <v>66015.429999999993</v>
      </c>
    </row>
    <row r="328" spans="4:5" x14ac:dyDescent="0.35">
      <c r="D328">
        <v>4879</v>
      </c>
      <c r="E328">
        <v>65906.78</v>
      </c>
    </row>
    <row r="329" spans="4:5" x14ac:dyDescent="0.35">
      <c r="D329">
        <v>4165</v>
      </c>
      <c r="E329">
        <v>65605.53</v>
      </c>
    </row>
    <row r="330" spans="4:5" x14ac:dyDescent="0.35">
      <c r="D330">
        <v>4668</v>
      </c>
      <c r="E330">
        <v>65398.06</v>
      </c>
    </row>
    <row r="331" spans="4:5" x14ac:dyDescent="0.35">
      <c r="D331">
        <v>3584</v>
      </c>
      <c r="E331">
        <v>65062.93</v>
      </c>
    </row>
    <row r="332" spans="4:5" x14ac:dyDescent="0.35">
      <c r="D332">
        <v>2460</v>
      </c>
      <c r="E332">
        <v>64582.58</v>
      </c>
    </row>
    <row r="333" spans="4:5" x14ac:dyDescent="0.35">
      <c r="D333">
        <v>3842</v>
      </c>
      <c r="E333">
        <v>64400.31</v>
      </c>
    </row>
    <row r="334" spans="4:5" x14ac:dyDescent="0.35">
      <c r="D334">
        <v>4103</v>
      </c>
      <c r="E334">
        <v>64261.42</v>
      </c>
    </row>
    <row r="335" spans="4:5" x14ac:dyDescent="0.35">
      <c r="D335">
        <v>2956</v>
      </c>
      <c r="E335">
        <v>64128.94</v>
      </c>
    </row>
    <row r="336" spans="4:5" x14ac:dyDescent="0.35">
      <c r="D336">
        <v>4239</v>
      </c>
      <c r="E336">
        <v>64037.21</v>
      </c>
    </row>
    <row r="337" spans="4:5" x14ac:dyDescent="0.35">
      <c r="D337">
        <v>2839</v>
      </c>
      <c r="E337">
        <v>63897.26</v>
      </c>
    </row>
    <row r="338" spans="4:5" x14ac:dyDescent="0.35">
      <c r="D338">
        <v>3917</v>
      </c>
      <c r="E338">
        <v>63640.14</v>
      </c>
    </row>
    <row r="339" spans="4:5" x14ac:dyDescent="0.35">
      <c r="D339">
        <v>3818</v>
      </c>
      <c r="E339">
        <v>63639.5</v>
      </c>
    </row>
    <row r="340" spans="4:5" x14ac:dyDescent="0.35">
      <c r="D340">
        <v>4877</v>
      </c>
      <c r="E340">
        <v>63621.32</v>
      </c>
    </row>
    <row r="341" spans="4:5" x14ac:dyDescent="0.35">
      <c r="D341">
        <v>2448</v>
      </c>
      <c r="E341">
        <v>63423.27</v>
      </c>
    </row>
    <row r="342" spans="4:5" x14ac:dyDescent="0.35">
      <c r="D342">
        <v>3540</v>
      </c>
      <c r="E342">
        <v>62871.58</v>
      </c>
    </row>
    <row r="343" spans="4:5" x14ac:dyDescent="0.35">
      <c r="D343">
        <v>4344</v>
      </c>
      <c r="E343">
        <v>62354.87</v>
      </c>
    </row>
    <row r="344" spans="4:5" x14ac:dyDescent="0.35">
      <c r="D344">
        <v>2518</v>
      </c>
      <c r="E344">
        <v>62117.32</v>
      </c>
    </row>
    <row r="345" spans="4:5" x14ac:dyDescent="0.35">
      <c r="D345">
        <v>3987</v>
      </c>
      <c r="E345">
        <v>62056.43</v>
      </c>
    </row>
    <row r="346" spans="4:5" x14ac:dyDescent="0.35">
      <c r="D346">
        <v>4157</v>
      </c>
      <c r="E346">
        <v>61729.45</v>
      </c>
    </row>
    <row r="347" spans="4:5" x14ac:dyDescent="0.35">
      <c r="D347">
        <v>3797</v>
      </c>
      <c r="E347">
        <v>61299.38</v>
      </c>
    </row>
    <row r="348" spans="4:5" x14ac:dyDescent="0.35">
      <c r="D348">
        <v>3778</v>
      </c>
      <c r="E348">
        <v>60890.93</v>
      </c>
    </row>
    <row r="349" spans="4:5" x14ac:dyDescent="0.35">
      <c r="D349">
        <v>4027</v>
      </c>
      <c r="E349">
        <v>60825.66</v>
      </c>
    </row>
    <row r="350" spans="4:5" x14ac:dyDescent="0.35">
      <c r="D350">
        <v>3621</v>
      </c>
      <c r="E350">
        <v>60791.75</v>
      </c>
    </row>
    <row r="351" spans="4:5" x14ac:dyDescent="0.35">
      <c r="D351">
        <v>4137</v>
      </c>
      <c r="E351">
        <v>60747.78</v>
      </c>
    </row>
    <row r="352" spans="4:5" x14ac:dyDescent="0.35">
      <c r="D352">
        <v>4162</v>
      </c>
      <c r="E352">
        <v>60543.58</v>
      </c>
    </row>
    <row r="353" spans="4:5" x14ac:dyDescent="0.35">
      <c r="D353">
        <v>4642</v>
      </c>
      <c r="E353">
        <v>60405.91</v>
      </c>
    </row>
    <row r="354" spans="4:5" x14ac:dyDescent="0.35">
      <c r="D354">
        <v>2597</v>
      </c>
      <c r="E354">
        <v>60301.27</v>
      </c>
    </row>
    <row r="355" spans="4:5" x14ac:dyDescent="0.35">
      <c r="D355">
        <v>2844</v>
      </c>
      <c r="E355">
        <v>60279.45</v>
      </c>
    </row>
    <row r="356" spans="4:5" x14ac:dyDescent="0.35">
      <c r="D356">
        <v>4835</v>
      </c>
      <c r="E356">
        <v>60194.45</v>
      </c>
    </row>
    <row r="357" spans="4:5" x14ac:dyDescent="0.35">
      <c r="D357">
        <v>4152</v>
      </c>
      <c r="E357">
        <v>60003.69</v>
      </c>
    </row>
    <row r="358" spans="4:5" x14ac:dyDescent="0.35">
      <c r="D358">
        <v>4301</v>
      </c>
      <c r="E358">
        <v>59799.02</v>
      </c>
    </row>
    <row r="359" spans="4:5" x14ac:dyDescent="0.35">
      <c r="D359">
        <v>3829</v>
      </c>
      <c r="E359">
        <v>59562.14</v>
      </c>
    </row>
    <row r="360" spans="4:5" x14ac:dyDescent="0.35">
      <c r="D360">
        <v>4098</v>
      </c>
      <c r="E360">
        <v>59541.96</v>
      </c>
    </row>
    <row r="361" spans="4:5" x14ac:dyDescent="0.35">
      <c r="D361">
        <v>2628</v>
      </c>
      <c r="E361">
        <v>58341.82</v>
      </c>
    </row>
    <row r="362" spans="4:5" x14ac:dyDescent="0.35">
      <c r="D362">
        <v>3742</v>
      </c>
      <c r="E362">
        <v>58137.18</v>
      </c>
    </row>
    <row r="363" spans="4:5" x14ac:dyDescent="0.35">
      <c r="D363">
        <v>4077</v>
      </c>
      <c r="E363">
        <v>57411.42</v>
      </c>
    </row>
    <row r="364" spans="4:5" x14ac:dyDescent="0.35">
      <c r="D364">
        <v>4805</v>
      </c>
      <c r="E364">
        <v>57317.9</v>
      </c>
    </row>
    <row r="365" spans="4:5" x14ac:dyDescent="0.35">
      <c r="D365">
        <v>4014</v>
      </c>
      <c r="E365">
        <v>57262.44</v>
      </c>
    </row>
    <row r="366" spans="4:5" x14ac:dyDescent="0.35">
      <c r="D366">
        <v>3700</v>
      </c>
      <c r="E366">
        <v>57210.69</v>
      </c>
    </row>
    <row r="367" spans="4:5" x14ac:dyDescent="0.35">
      <c r="D367">
        <v>2841</v>
      </c>
      <c r="E367">
        <v>57102.64</v>
      </c>
    </row>
    <row r="368" spans="4:5" x14ac:dyDescent="0.35">
      <c r="D368">
        <v>4901</v>
      </c>
      <c r="E368">
        <v>57006.25</v>
      </c>
    </row>
    <row r="369" spans="4:5" x14ac:dyDescent="0.35">
      <c r="D369">
        <v>4107</v>
      </c>
      <c r="E369">
        <v>56886.57</v>
      </c>
    </row>
    <row r="370" spans="4:5" x14ac:dyDescent="0.35">
      <c r="D370">
        <v>2228</v>
      </c>
      <c r="E370">
        <v>56760.7</v>
      </c>
    </row>
    <row r="371" spans="4:5" x14ac:dyDescent="0.35">
      <c r="D371">
        <v>4864</v>
      </c>
      <c r="E371">
        <v>56502.28</v>
      </c>
    </row>
    <row r="372" spans="4:5" x14ac:dyDescent="0.35">
      <c r="D372">
        <v>4807</v>
      </c>
      <c r="E372">
        <v>56119.69</v>
      </c>
    </row>
    <row r="373" spans="4:5" x14ac:dyDescent="0.35">
      <c r="D373">
        <v>3816</v>
      </c>
      <c r="E373">
        <v>56106.48</v>
      </c>
    </row>
    <row r="374" spans="4:5" x14ac:dyDescent="0.35">
      <c r="D374">
        <v>4860</v>
      </c>
      <c r="E374">
        <v>55821.34</v>
      </c>
    </row>
    <row r="375" spans="4:5" x14ac:dyDescent="0.35">
      <c r="D375">
        <v>4180</v>
      </c>
      <c r="E375">
        <v>55798.79</v>
      </c>
    </row>
    <row r="376" spans="4:5" x14ac:dyDescent="0.35">
      <c r="D376">
        <v>4253</v>
      </c>
      <c r="E376">
        <v>55577.43</v>
      </c>
    </row>
    <row r="377" spans="4:5" x14ac:dyDescent="0.35">
      <c r="D377">
        <v>3696</v>
      </c>
      <c r="E377">
        <v>55480.44</v>
      </c>
    </row>
    <row r="378" spans="4:5" x14ac:dyDescent="0.35">
      <c r="D378">
        <v>3488</v>
      </c>
      <c r="E378">
        <v>55249.89</v>
      </c>
    </row>
    <row r="379" spans="4:5" x14ac:dyDescent="0.35">
      <c r="D379">
        <v>2835</v>
      </c>
      <c r="E379">
        <v>55115.35</v>
      </c>
    </row>
    <row r="380" spans="4:5" x14ac:dyDescent="0.35">
      <c r="D380">
        <v>4673</v>
      </c>
      <c r="E380">
        <v>54820.480000000003</v>
      </c>
    </row>
    <row r="381" spans="4:5" x14ac:dyDescent="0.35">
      <c r="D381">
        <v>3784</v>
      </c>
      <c r="E381">
        <v>54744.49</v>
      </c>
    </row>
    <row r="382" spans="4:5" x14ac:dyDescent="0.35">
      <c r="D382">
        <v>3873</v>
      </c>
      <c r="E382">
        <v>54583.98</v>
      </c>
    </row>
    <row r="383" spans="4:5" x14ac:dyDescent="0.35">
      <c r="D383">
        <v>4150</v>
      </c>
      <c r="E383">
        <v>54505.56</v>
      </c>
    </row>
    <row r="384" spans="4:5" x14ac:dyDescent="0.35">
      <c r="D384">
        <v>4892</v>
      </c>
      <c r="E384">
        <v>54337.4</v>
      </c>
    </row>
    <row r="385" spans="4:5" x14ac:dyDescent="0.35">
      <c r="D385">
        <v>4616</v>
      </c>
      <c r="E385">
        <v>54221.11</v>
      </c>
    </row>
    <row r="386" spans="4:5" x14ac:dyDescent="0.35">
      <c r="D386">
        <v>4812</v>
      </c>
      <c r="E386">
        <v>54079.67</v>
      </c>
    </row>
    <row r="387" spans="4:5" x14ac:dyDescent="0.35">
      <c r="D387">
        <v>4148</v>
      </c>
      <c r="E387">
        <v>53904.14</v>
      </c>
    </row>
    <row r="388" spans="4:5" x14ac:dyDescent="0.35">
      <c r="D388">
        <v>4463</v>
      </c>
      <c r="E388">
        <v>53773.01</v>
      </c>
    </row>
    <row r="389" spans="4:5" x14ac:dyDescent="0.35">
      <c r="D389">
        <v>2843</v>
      </c>
      <c r="E389">
        <v>53480.9</v>
      </c>
    </row>
    <row r="390" spans="4:5" x14ac:dyDescent="0.35">
      <c r="D390">
        <v>3528</v>
      </c>
      <c r="E390">
        <v>53434.98</v>
      </c>
    </row>
    <row r="391" spans="4:5" x14ac:dyDescent="0.35">
      <c r="D391">
        <v>4126</v>
      </c>
      <c r="E391">
        <v>53323.1</v>
      </c>
    </row>
    <row r="392" spans="4:5" x14ac:dyDescent="0.35">
      <c r="D392">
        <v>3440</v>
      </c>
      <c r="E392">
        <v>52891.77</v>
      </c>
    </row>
    <row r="393" spans="4:5" x14ac:dyDescent="0.35">
      <c r="D393">
        <v>4269</v>
      </c>
      <c r="E393">
        <v>52888.65</v>
      </c>
    </row>
    <row r="394" spans="4:5" x14ac:dyDescent="0.35">
      <c r="D394">
        <v>4334</v>
      </c>
      <c r="E394">
        <v>52776.79</v>
      </c>
    </row>
    <row r="395" spans="4:5" x14ac:dyDescent="0.35">
      <c r="D395">
        <v>2960</v>
      </c>
      <c r="E395">
        <v>52690.55</v>
      </c>
    </row>
    <row r="396" spans="4:5" x14ac:dyDescent="0.35">
      <c r="D396">
        <v>3994</v>
      </c>
      <c r="E396">
        <v>52515.38</v>
      </c>
    </row>
    <row r="397" spans="4:5" x14ac:dyDescent="0.35">
      <c r="D397">
        <v>4105</v>
      </c>
      <c r="E397">
        <v>52376.89</v>
      </c>
    </row>
    <row r="398" spans="4:5" x14ac:dyDescent="0.35">
      <c r="D398">
        <v>4819</v>
      </c>
      <c r="E398">
        <v>52224.61</v>
      </c>
    </row>
    <row r="399" spans="4:5" x14ac:dyDescent="0.35">
      <c r="D399">
        <v>4260</v>
      </c>
      <c r="E399">
        <v>52122.6</v>
      </c>
    </row>
    <row r="400" spans="4:5" x14ac:dyDescent="0.35">
      <c r="D400">
        <v>2550</v>
      </c>
      <c r="E400">
        <v>51670.21</v>
      </c>
    </row>
    <row r="401" spans="4:5" x14ac:dyDescent="0.35">
      <c r="D401">
        <v>3932</v>
      </c>
      <c r="E401">
        <v>51668.47</v>
      </c>
    </row>
    <row r="402" spans="4:5" x14ac:dyDescent="0.35">
      <c r="D402">
        <v>3678</v>
      </c>
      <c r="E402">
        <v>51214.31</v>
      </c>
    </row>
    <row r="403" spans="4:5" x14ac:dyDescent="0.35">
      <c r="D403">
        <v>4176</v>
      </c>
      <c r="E403">
        <v>50989.07</v>
      </c>
    </row>
    <row r="404" spans="4:5" x14ac:dyDescent="0.35">
      <c r="D404">
        <v>3997</v>
      </c>
      <c r="E404">
        <v>50918.400000000001</v>
      </c>
    </row>
    <row r="405" spans="4:5" x14ac:dyDescent="0.35">
      <c r="D405">
        <v>4084</v>
      </c>
      <c r="E405">
        <v>50825.57</v>
      </c>
    </row>
    <row r="406" spans="4:5" x14ac:dyDescent="0.35">
      <c r="D406">
        <v>4233</v>
      </c>
      <c r="E406">
        <v>50667.31</v>
      </c>
    </row>
    <row r="407" spans="4:5" x14ac:dyDescent="0.35">
      <c r="D407">
        <v>5036</v>
      </c>
      <c r="E407">
        <v>50069.22</v>
      </c>
    </row>
    <row r="408" spans="4:5" x14ac:dyDescent="0.35">
      <c r="D408">
        <v>2660</v>
      </c>
      <c r="E408">
        <v>50037.279999999999</v>
      </c>
    </row>
    <row r="409" spans="4:5" x14ac:dyDescent="0.35">
      <c r="D409">
        <v>4011</v>
      </c>
      <c r="E409">
        <v>49934.03</v>
      </c>
    </row>
    <row r="410" spans="4:5" x14ac:dyDescent="0.35">
      <c r="D410">
        <v>4197</v>
      </c>
      <c r="E410">
        <v>49858.85</v>
      </c>
    </row>
    <row r="411" spans="4:5" x14ac:dyDescent="0.35">
      <c r="D411">
        <v>3973</v>
      </c>
      <c r="E411">
        <v>49766.83</v>
      </c>
    </row>
    <row r="412" spans="4:5" x14ac:dyDescent="0.35">
      <c r="D412">
        <v>3963</v>
      </c>
      <c r="E412">
        <v>49757.97</v>
      </c>
    </row>
    <row r="413" spans="4:5" x14ac:dyDescent="0.35">
      <c r="D413">
        <v>4566</v>
      </c>
      <c r="E413">
        <v>49524.86</v>
      </c>
    </row>
    <row r="414" spans="4:5" x14ac:dyDescent="0.35">
      <c r="D414">
        <v>3910</v>
      </c>
      <c r="E414">
        <v>49509.3</v>
      </c>
    </row>
    <row r="415" spans="4:5" x14ac:dyDescent="0.35">
      <c r="D415">
        <v>4952</v>
      </c>
      <c r="E415">
        <v>49026.03</v>
      </c>
    </row>
    <row r="416" spans="4:5" x14ac:dyDescent="0.35">
      <c r="D416">
        <v>3928</v>
      </c>
      <c r="E416">
        <v>48984.38</v>
      </c>
    </row>
    <row r="417" spans="4:5" x14ac:dyDescent="0.35">
      <c r="D417">
        <v>4804</v>
      </c>
      <c r="E417">
        <v>48827.040000000001</v>
      </c>
    </row>
    <row r="418" spans="4:5" x14ac:dyDescent="0.35">
      <c r="D418">
        <v>4194</v>
      </c>
      <c r="E418">
        <v>48689.58</v>
      </c>
    </row>
    <row r="419" spans="4:5" x14ac:dyDescent="0.35">
      <c r="D419">
        <v>4185</v>
      </c>
      <c r="E419">
        <v>48687.05</v>
      </c>
    </row>
    <row r="420" spans="4:5" x14ac:dyDescent="0.35">
      <c r="D420">
        <v>3744</v>
      </c>
      <c r="E420">
        <v>48389.07</v>
      </c>
    </row>
    <row r="421" spans="4:5" x14ac:dyDescent="0.35">
      <c r="D421">
        <v>4204</v>
      </c>
      <c r="E421">
        <v>48195.27</v>
      </c>
    </row>
    <row r="422" spans="4:5" x14ac:dyDescent="0.35">
      <c r="D422">
        <v>4973</v>
      </c>
      <c r="E422">
        <v>47997.55</v>
      </c>
    </row>
    <row r="423" spans="4:5" x14ac:dyDescent="0.35">
      <c r="D423">
        <v>4436</v>
      </c>
      <c r="E423">
        <v>47965.67</v>
      </c>
    </row>
    <row r="424" spans="4:5" x14ac:dyDescent="0.35">
      <c r="D424">
        <v>3054</v>
      </c>
      <c r="E424">
        <v>47898.39</v>
      </c>
    </row>
    <row r="425" spans="4:5" x14ac:dyDescent="0.35">
      <c r="D425">
        <v>4303</v>
      </c>
      <c r="E425">
        <v>47680.35</v>
      </c>
    </row>
    <row r="426" spans="4:5" x14ac:dyDescent="0.35">
      <c r="D426">
        <v>4558</v>
      </c>
      <c r="E426">
        <v>47347.66</v>
      </c>
    </row>
    <row r="427" spans="4:5" x14ac:dyDescent="0.35">
      <c r="D427">
        <v>3890</v>
      </c>
      <c r="E427">
        <v>47027.72</v>
      </c>
    </row>
    <row r="428" spans="4:5" x14ac:dyDescent="0.35">
      <c r="D428">
        <v>4258</v>
      </c>
      <c r="E428">
        <v>46750.42</v>
      </c>
    </row>
    <row r="429" spans="4:5" x14ac:dyDescent="0.35">
      <c r="D429">
        <v>3698</v>
      </c>
      <c r="E429">
        <v>46430.35</v>
      </c>
    </row>
    <row r="430" spans="4:5" x14ac:dyDescent="0.35">
      <c r="D430">
        <v>4190</v>
      </c>
      <c r="E430">
        <v>46359.26</v>
      </c>
    </row>
    <row r="431" spans="4:5" x14ac:dyDescent="0.35">
      <c r="D431">
        <v>4236</v>
      </c>
      <c r="E431">
        <v>46323.09</v>
      </c>
    </row>
    <row r="432" spans="4:5" x14ac:dyDescent="0.35">
      <c r="D432">
        <v>4818</v>
      </c>
      <c r="E432">
        <v>45715.1</v>
      </c>
    </row>
    <row r="433" spans="4:5" x14ac:dyDescent="0.35">
      <c r="D433">
        <v>4085</v>
      </c>
      <c r="E433">
        <v>45642.89</v>
      </c>
    </row>
    <row r="434" spans="4:5" x14ac:dyDescent="0.35">
      <c r="D434">
        <v>3660</v>
      </c>
      <c r="E434">
        <v>45507.3</v>
      </c>
    </row>
    <row r="435" spans="4:5" x14ac:dyDescent="0.35">
      <c r="D435">
        <v>5018</v>
      </c>
      <c r="E435">
        <v>45442.45</v>
      </c>
    </row>
    <row r="436" spans="4:5" x14ac:dyDescent="0.35">
      <c r="D436">
        <v>4273</v>
      </c>
      <c r="E436">
        <v>45008.76</v>
      </c>
    </row>
    <row r="437" spans="4:5" x14ac:dyDescent="0.35">
      <c r="D437">
        <v>4138</v>
      </c>
      <c r="E437">
        <v>44879.26</v>
      </c>
    </row>
    <row r="438" spans="4:5" x14ac:dyDescent="0.35">
      <c r="D438">
        <v>4223</v>
      </c>
      <c r="E438">
        <v>44874.54</v>
      </c>
    </row>
    <row r="439" spans="4:5" x14ac:dyDescent="0.35">
      <c r="D439">
        <v>3783</v>
      </c>
      <c r="E439">
        <v>44855.69</v>
      </c>
    </row>
    <row r="440" spans="4:5" x14ac:dyDescent="0.35">
      <c r="D440">
        <v>3912</v>
      </c>
      <c r="E440">
        <v>44779.68</v>
      </c>
    </row>
    <row r="441" spans="4:5" x14ac:dyDescent="0.35">
      <c r="D441">
        <v>4192</v>
      </c>
      <c r="E441">
        <v>44690.5</v>
      </c>
    </row>
    <row r="442" spans="4:5" x14ac:dyDescent="0.35">
      <c r="D442">
        <v>4939</v>
      </c>
      <c r="E442">
        <v>44321.33</v>
      </c>
    </row>
    <row r="443" spans="4:5" x14ac:dyDescent="0.35">
      <c r="D443">
        <v>2667</v>
      </c>
      <c r="E443">
        <v>44258.93</v>
      </c>
    </row>
    <row r="444" spans="4:5" x14ac:dyDescent="0.35">
      <c r="D444">
        <v>3465</v>
      </c>
      <c r="E444">
        <v>44213.59</v>
      </c>
    </row>
    <row r="445" spans="4:5" x14ac:dyDescent="0.35">
      <c r="D445">
        <v>3704</v>
      </c>
      <c r="E445">
        <v>44169.599999999999</v>
      </c>
    </row>
    <row r="446" spans="4:5" x14ac:dyDescent="0.35">
      <c r="D446">
        <v>3690</v>
      </c>
      <c r="E446">
        <v>44139.39</v>
      </c>
    </row>
    <row r="447" spans="4:5" x14ac:dyDescent="0.35">
      <c r="D447">
        <v>3587</v>
      </c>
      <c r="E447">
        <v>43838.78</v>
      </c>
    </row>
    <row r="448" spans="4:5" x14ac:dyDescent="0.35">
      <c r="D448">
        <v>2205</v>
      </c>
      <c r="E448">
        <v>43780.7</v>
      </c>
    </row>
    <row r="449" spans="4:5" x14ac:dyDescent="0.35">
      <c r="D449">
        <v>3650</v>
      </c>
      <c r="E449">
        <v>43587.4</v>
      </c>
    </row>
    <row r="450" spans="4:5" x14ac:dyDescent="0.35">
      <c r="D450">
        <v>4619</v>
      </c>
      <c r="E450">
        <v>43528.74</v>
      </c>
    </row>
    <row r="451" spans="4:5" x14ac:dyDescent="0.35">
      <c r="D451">
        <v>4291</v>
      </c>
      <c r="E451">
        <v>43454.59</v>
      </c>
    </row>
    <row r="452" spans="4:5" x14ac:dyDescent="0.35">
      <c r="D452">
        <v>3894</v>
      </c>
      <c r="E452">
        <v>43432.55</v>
      </c>
    </row>
    <row r="453" spans="4:5" x14ac:dyDescent="0.35">
      <c r="D453">
        <v>4285</v>
      </c>
      <c r="E453">
        <v>43073.32</v>
      </c>
    </row>
    <row r="454" spans="4:5" x14ac:dyDescent="0.35">
      <c r="D454">
        <v>4801</v>
      </c>
      <c r="E454">
        <v>42901.32</v>
      </c>
    </row>
    <row r="455" spans="4:5" x14ac:dyDescent="0.35">
      <c r="D455">
        <v>4235</v>
      </c>
      <c r="E455">
        <v>42838.36</v>
      </c>
    </row>
    <row r="456" spans="4:5" x14ac:dyDescent="0.35">
      <c r="D456">
        <v>4373</v>
      </c>
      <c r="E456">
        <v>42712.65</v>
      </c>
    </row>
    <row r="457" spans="4:5" x14ac:dyDescent="0.35">
      <c r="D457">
        <v>4895</v>
      </c>
      <c r="E457">
        <v>42686.38</v>
      </c>
    </row>
    <row r="458" spans="4:5" x14ac:dyDescent="0.35">
      <c r="D458">
        <v>2838</v>
      </c>
      <c r="E458">
        <v>42482.36</v>
      </c>
    </row>
    <row r="459" spans="4:5" x14ac:dyDescent="0.35">
      <c r="D459">
        <v>4502</v>
      </c>
      <c r="E459">
        <v>42451.98</v>
      </c>
    </row>
    <row r="460" spans="4:5" x14ac:dyDescent="0.35">
      <c r="D460">
        <v>4024</v>
      </c>
      <c r="E460">
        <v>42441.72</v>
      </c>
    </row>
    <row r="461" spans="4:5" x14ac:dyDescent="0.35">
      <c r="D461">
        <v>2200</v>
      </c>
      <c r="E461">
        <v>42299.89</v>
      </c>
    </row>
    <row r="462" spans="4:5" x14ac:dyDescent="0.35">
      <c r="D462">
        <v>5027</v>
      </c>
      <c r="E462">
        <v>42280.86</v>
      </c>
    </row>
    <row r="463" spans="4:5" x14ac:dyDescent="0.35">
      <c r="D463">
        <v>4402</v>
      </c>
      <c r="E463">
        <v>42226.25</v>
      </c>
    </row>
    <row r="464" spans="4:5" x14ac:dyDescent="0.35">
      <c r="D464">
        <v>4559</v>
      </c>
      <c r="E464">
        <v>42210.1</v>
      </c>
    </row>
    <row r="465" spans="4:5" x14ac:dyDescent="0.35">
      <c r="D465">
        <v>4958</v>
      </c>
      <c r="E465">
        <v>42049.48</v>
      </c>
    </row>
    <row r="466" spans="4:5" x14ac:dyDescent="0.35">
      <c r="D466">
        <v>4681</v>
      </c>
      <c r="E466">
        <v>41977.75</v>
      </c>
    </row>
    <row r="467" spans="4:5" x14ac:dyDescent="0.35">
      <c r="D467">
        <v>4837</v>
      </c>
      <c r="E467">
        <v>41677.97</v>
      </c>
    </row>
    <row r="468" spans="4:5" x14ac:dyDescent="0.35">
      <c r="D468">
        <v>3920</v>
      </c>
      <c r="E468">
        <v>41621.82</v>
      </c>
    </row>
    <row r="469" spans="4:5" x14ac:dyDescent="0.35">
      <c r="D469">
        <v>2837</v>
      </c>
      <c r="E469">
        <v>41524.46</v>
      </c>
    </row>
    <row r="470" spans="4:5" x14ac:dyDescent="0.35">
      <c r="D470">
        <v>4075</v>
      </c>
      <c r="E470">
        <v>41468.5</v>
      </c>
    </row>
    <row r="471" spans="4:5" x14ac:dyDescent="0.35">
      <c r="D471">
        <v>4319</v>
      </c>
      <c r="E471">
        <v>41454.18</v>
      </c>
    </row>
    <row r="472" spans="4:5" x14ac:dyDescent="0.35">
      <c r="D472">
        <v>3989</v>
      </c>
      <c r="E472">
        <v>41423.31</v>
      </c>
    </row>
    <row r="473" spans="4:5" x14ac:dyDescent="0.35">
      <c r="D473">
        <v>4268</v>
      </c>
      <c r="E473">
        <v>41375.699999999997</v>
      </c>
    </row>
    <row r="474" spans="4:5" x14ac:dyDescent="0.35">
      <c r="D474">
        <v>4201</v>
      </c>
      <c r="E474">
        <v>41299.129999999997</v>
      </c>
    </row>
    <row r="475" spans="4:5" x14ac:dyDescent="0.35">
      <c r="D475">
        <v>4708</v>
      </c>
      <c r="E475">
        <v>41122.699999999997</v>
      </c>
    </row>
    <row r="476" spans="4:5" x14ac:dyDescent="0.35">
      <c r="D476">
        <v>4222</v>
      </c>
      <c r="E476">
        <v>40651</v>
      </c>
    </row>
    <row r="477" spans="4:5" x14ac:dyDescent="0.35">
      <c r="D477">
        <v>4272</v>
      </c>
      <c r="E477">
        <v>40562.82</v>
      </c>
    </row>
    <row r="478" spans="4:5" x14ac:dyDescent="0.35">
      <c r="D478">
        <v>3877</v>
      </c>
      <c r="E478">
        <v>40369.61</v>
      </c>
    </row>
    <row r="479" spans="4:5" x14ac:dyDescent="0.35">
      <c r="D479">
        <v>4102</v>
      </c>
      <c r="E479">
        <v>40283.370000000003</v>
      </c>
    </row>
    <row r="480" spans="4:5" x14ac:dyDescent="0.35">
      <c r="D480">
        <v>4576</v>
      </c>
      <c r="E480">
        <v>40207.919999999998</v>
      </c>
    </row>
    <row r="481" spans="4:5" x14ac:dyDescent="0.35">
      <c r="D481">
        <v>4252</v>
      </c>
      <c r="E481">
        <v>40151.54</v>
      </c>
    </row>
    <row r="482" spans="4:5" x14ac:dyDescent="0.35">
      <c r="D482">
        <v>4153</v>
      </c>
      <c r="E482">
        <v>40066.620000000003</v>
      </c>
    </row>
    <row r="483" spans="4:5" x14ac:dyDescent="0.35">
      <c r="D483">
        <v>4247</v>
      </c>
      <c r="E483">
        <v>40035.699999999997</v>
      </c>
    </row>
    <row r="484" spans="4:5" x14ac:dyDescent="0.35">
      <c r="D484">
        <v>4910</v>
      </c>
      <c r="E484">
        <v>39865.33</v>
      </c>
    </row>
    <row r="485" spans="4:5" x14ac:dyDescent="0.35">
      <c r="D485">
        <v>4070</v>
      </c>
      <c r="E485">
        <v>39778.620000000003</v>
      </c>
    </row>
    <row r="486" spans="4:5" x14ac:dyDescent="0.35">
      <c r="D486">
        <v>4902</v>
      </c>
      <c r="E486">
        <v>39746.769999999997</v>
      </c>
    </row>
    <row r="487" spans="4:5" x14ac:dyDescent="0.35">
      <c r="D487">
        <v>3841</v>
      </c>
      <c r="E487">
        <v>39746.61</v>
      </c>
    </row>
    <row r="488" spans="4:5" x14ac:dyDescent="0.35">
      <c r="D488">
        <v>2367</v>
      </c>
      <c r="E488">
        <v>39745.74</v>
      </c>
    </row>
    <row r="489" spans="4:5" x14ac:dyDescent="0.35">
      <c r="D489">
        <v>4171</v>
      </c>
      <c r="E489">
        <v>39682.33</v>
      </c>
    </row>
    <row r="490" spans="4:5" x14ac:dyDescent="0.35">
      <c r="D490">
        <v>5029</v>
      </c>
      <c r="E490">
        <v>39337.81</v>
      </c>
    </row>
    <row r="491" spans="4:5" x14ac:dyDescent="0.35">
      <c r="D491">
        <v>3943</v>
      </c>
      <c r="E491">
        <v>38980.46</v>
      </c>
    </row>
    <row r="492" spans="4:5" x14ac:dyDescent="0.35">
      <c r="D492">
        <v>4051</v>
      </c>
      <c r="E492">
        <v>38879.279999999999</v>
      </c>
    </row>
    <row r="493" spans="4:5" x14ac:dyDescent="0.35">
      <c r="D493">
        <v>4597</v>
      </c>
      <c r="E493">
        <v>38675.75</v>
      </c>
    </row>
    <row r="494" spans="4:5" x14ac:dyDescent="0.35">
      <c r="D494">
        <v>3542</v>
      </c>
      <c r="E494">
        <v>38612.18</v>
      </c>
    </row>
    <row r="495" spans="4:5" x14ac:dyDescent="0.35">
      <c r="D495">
        <v>3529</v>
      </c>
      <c r="E495">
        <v>38511.96</v>
      </c>
    </row>
    <row r="496" spans="4:5" x14ac:dyDescent="0.35">
      <c r="D496">
        <v>3866</v>
      </c>
      <c r="E496">
        <v>38473.68</v>
      </c>
    </row>
    <row r="497" spans="4:5" x14ac:dyDescent="0.35">
      <c r="D497">
        <v>4803</v>
      </c>
      <c r="E497">
        <v>38413.5</v>
      </c>
    </row>
    <row r="498" spans="4:5" x14ac:dyDescent="0.35">
      <c r="D498">
        <v>4146</v>
      </c>
      <c r="E498">
        <v>38402.370000000003</v>
      </c>
    </row>
    <row r="499" spans="4:5" x14ac:dyDescent="0.35">
      <c r="D499">
        <v>4161</v>
      </c>
      <c r="E499">
        <v>38116.269999999997</v>
      </c>
    </row>
    <row r="500" spans="4:5" x14ac:dyDescent="0.35">
      <c r="D500">
        <v>4453</v>
      </c>
      <c r="E500">
        <v>37949.599999999999</v>
      </c>
    </row>
    <row r="501" spans="4:5" x14ac:dyDescent="0.35">
      <c r="D501">
        <v>4932</v>
      </c>
      <c r="E501">
        <v>37911.279999999999</v>
      </c>
    </row>
    <row r="502" spans="4:5" x14ac:dyDescent="0.35">
      <c r="D502">
        <v>4744</v>
      </c>
      <c r="E502">
        <v>37891.69</v>
      </c>
    </row>
    <row r="503" spans="4:5" x14ac:dyDescent="0.35">
      <c r="D503">
        <v>3705</v>
      </c>
      <c r="E503">
        <v>37535.18</v>
      </c>
    </row>
    <row r="504" spans="4:5" x14ac:dyDescent="0.35">
      <c r="D504">
        <v>2655</v>
      </c>
      <c r="E504">
        <v>37525.839999999997</v>
      </c>
    </row>
    <row r="505" spans="4:5" x14ac:dyDescent="0.35">
      <c r="D505">
        <v>3959</v>
      </c>
      <c r="E505">
        <v>37518.720000000001</v>
      </c>
    </row>
    <row r="506" spans="4:5" x14ac:dyDescent="0.35">
      <c r="D506">
        <v>4889</v>
      </c>
      <c r="E506">
        <v>37511.47</v>
      </c>
    </row>
    <row r="507" spans="4:5" x14ac:dyDescent="0.35">
      <c r="D507">
        <v>5003</v>
      </c>
      <c r="E507">
        <v>37389.29</v>
      </c>
    </row>
    <row r="508" spans="4:5" x14ac:dyDescent="0.35">
      <c r="D508">
        <v>3013</v>
      </c>
      <c r="E508">
        <v>37321.78</v>
      </c>
    </row>
    <row r="509" spans="4:5" x14ac:dyDescent="0.35">
      <c r="D509">
        <v>4685</v>
      </c>
      <c r="E509">
        <v>37247.07</v>
      </c>
    </row>
    <row r="510" spans="4:5" x14ac:dyDescent="0.35">
      <c r="D510">
        <v>3871</v>
      </c>
      <c r="E510">
        <v>37241.699999999997</v>
      </c>
    </row>
    <row r="511" spans="4:5" x14ac:dyDescent="0.35">
      <c r="D511">
        <v>4229</v>
      </c>
      <c r="E511">
        <v>37212.720000000001</v>
      </c>
    </row>
    <row r="512" spans="4:5" x14ac:dyDescent="0.35">
      <c r="D512">
        <v>4733</v>
      </c>
      <c r="E512">
        <v>37197.78</v>
      </c>
    </row>
    <row r="513" spans="4:5" x14ac:dyDescent="0.35">
      <c r="D513">
        <v>4446</v>
      </c>
      <c r="E513">
        <v>37061.4</v>
      </c>
    </row>
    <row r="514" spans="4:5" x14ac:dyDescent="0.35">
      <c r="D514">
        <v>4163</v>
      </c>
      <c r="E514">
        <v>37025.15</v>
      </c>
    </row>
    <row r="515" spans="4:5" x14ac:dyDescent="0.35">
      <c r="D515">
        <v>4160</v>
      </c>
      <c r="E515">
        <v>36991.31</v>
      </c>
    </row>
    <row r="516" spans="4:5" x14ac:dyDescent="0.35">
      <c r="D516">
        <v>2238</v>
      </c>
      <c r="E516">
        <v>36372.68</v>
      </c>
    </row>
    <row r="517" spans="4:5" x14ac:dyDescent="0.35">
      <c r="D517">
        <v>4141</v>
      </c>
      <c r="E517">
        <v>36075.199999999997</v>
      </c>
    </row>
    <row r="518" spans="4:5" x14ac:dyDescent="0.35">
      <c r="D518">
        <v>5034</v>
      </c>
      <c r="E518">
        <v>35927.050000000003</v>
      </c>
    </row>
    <row r="519" spans="4:5" x14ac:dyDescent="0.35">
      <c r="D519">
        <v>4452</v>
      </c>
      <c r="E519">
        <v>35824.370000000003</v>
      </c>
    </row>
    <row r="520" spans="4:5" x14ac:dyDescent="0.35">
      <c r="D520">
        <v>4729</v>
      </c>
      <c r="E520">
        <v>35702.949999999997</v>
      </c>
    </row>
    <row r="521" spans="4:5" x14ac:dyDescent="0.35">
      <c r="D521">
        <v>4734</v>
      </c>
      <c r="E521">
        <v>35608.14</v>
      </c>
    </row>
    <row r="522" spans="4:5" x14ac:dyDescent="0.35">
      <c r="D522">
        <v>2846</v>
      </c>
      <c r="E522">
        <v>35427.31</v>
      </c>
    </row>
    <row r="523" spans="4:5" x14ac:dyDescent="0.35">
      <c r="D523">
        <v>4870</v>
      </c>
      <c r="E523">
        <v>35282.39</v>
      </c>
    </row>
    <row r="524" spans="4:5" x14ac:dyDescent="0.35">
      <c r="D524">
        <v>4670</v>
      </c>
      <c r="E524">
        <v>35183.17</v>
      </c>
    </row>
    <row r="525" spans="4:5" x14ac:dyDescent="0.35">
      <c r="D525">
        <v>4683</v>
      </c>
      <c r="E525">
        <v>34881.93</v>
      </c>
    </row>
    <row r="526" spans="4:5" x14ac:dyDescent="0.35">
      <c r="D526">
        <v>4684</v>
      </c>
      <c r="E526">
        <v>34257.79</v>
      </c>
    </row>
    <row r="527" spans="4:5" x14ac:dyDescent="0.35">
      <c r="D527">
        <v>4379</v>
      </c>
      <c r="E527">
        <v>34248.83</v>
      </c>
    </row>
    <row r="528" spans="4:5" x14ac:dyDescent="0.35">
      <c r="D528">
        <v>4907</v>
      </c>
      <c r="E528">
        <v>34173.65</v>
      </c>
    </row>
    <row r="529" spans="4:5" x14ac:dyDescent="0.35">
      <c r="D529">
        <v>4118</v>
      </c>
      <c r="E529">
        <v>34129.32</v>
      </c>
    </row>
    <row r="530" spans="4:5" x14ac:dyDescent="0.35">
      <c r="D530">
        <v>4686</v>
      </c>
      <c r="E530">
        <v>34097.14</v>
      </c>
    </row>
    <row r="531" spans="4:5" x14ac:dyDescent="0.35">
      <c r="D531">
        <v>4205</v>
      </c>
      <c r="E531">
        <v>34040.519999999997</v>
      </c>
    </row>
    <row r="532" spans="4:5" x14ac:dyDescent="0.35">
      <c r="D532">
        <v>4106</v>
      </c>
      <c r="E532">
        <v>33994.74</v>
      </c>
    </row>
    <row r="533" spans="4:5" x14ac:dyDescent="0.35">
      <c r="D533">
        <v>4135</v>
      </c>
      <c r="E533">
        <v>33921.82</v>
      </c>
    </row>
    <row r="534" spans="4:5" x14ac:dyDescent="0.35">
      <c r="D534">
        <v>4158</v>
      </c>
      <c r="E534">
        <v>33919.81</v>
      </c>
    </row>
    <row r="535" spans="4:5" x14ac:dyDescent="0.35">
      <c r="D535">
        <v>4456</v>
      </c>
      <c r="E535">
        <v>33856.51</v>
      </c>
    </row>
    <row r="536" spans="4:5" x14ac:dyDescent="0.35">
      <c r="D536">
        <v>4839</v>
      </c>
      <c r="E536">
        <v>33833.82</v>
      </c>
    </row>
    <row r="537" spans="4:5" x14ac:dyDescent="0.35">
      <c r="D537">
        <v>3808</v>
      </c>
      <c r="E537">
        <v>33569.230000000003</v>
      </c>
    </row>
    <row r="538" spans="4:5" x14ac:dyDescent="0.35">
      <c r="D538">
        <v>4069</v>
      </c>
      <c r="E538">
        <v>33410.31</v>
      </c>
    </row>
    <row r="539" spans="4:5" x14ac:dyDescent="0.35">
      <c r="D539">
        <v>4891</v>
      </c>
      <c r="E539">
        <v>33389.58</v>
      </c>
    </row>
    <row r="540" spans="4:5" x14ac:dyDescent="0.35">
      <c r="D540">
        <v>4110</v>
      </c>
      <c r="E540">
        <v>33337.800000000003</v>
      </c>
    </row>
    <row r="541" spans="4:5" x14ac:dyDescent="0.35">
      <c r="D541">
        <v>4345</v>
      </c>
      <c r="E541">
        <v>33294.300000000003</v>
      </c>
    </row>
    <row r="542" spans="4:5" x14ac:dyDescent="0.35">
      <c r="D542">
        <v>4898</v>
      </c>
      <c r="E542">
        <v>33228.080000000002</v>
      </c>
    </row>
    <row r="543" spans="4:5" x14ac:dyDescent="0.35">
      <c r="D543">
        <v>4757</v>
      </c>
      <c r="E543">
        <v>33189.42</v>
      </c>
    </row>
    <row r="544" spans="4:5" x14ac:dyDescent="0.35">
      <c r="D544">
        <v>3772</v>
      </c>
      <c r="E544">
        <v>33128.639999999999</v>
      </c>
    </row>
    <row r="545" spans="4:5" x14ac:dyDescent="0.35">
      <c r="D545">
        <v>4202</v>
      </c>
      <c r="E545">
        <v>33081.83</v>
      </c>
    </row>
    <row r="546" spans="4:5" x14ac:dyDescent="0.35">
      <c r="D546">
        <v>4482</v>
      </c>
      <c r="E546">
        <v>32988.29</v>
      </c>
    </row>
    <row r="547" spans="4:5" x14ac:dyDescent="0.35">
      <c r="D547">
        <v>4662</v>
      </c>
      <c r="E547">
        <v>32987.07</v>
      </c>
    </row>
    <row r="548" spans="4:5" x14ac:dyDescent="0.35">
      <c r="D548">
        <v>3880</v>
      </c>
      <c r="E548">
        <v>32970.300000000003</v>
      </c>
    </row>
    <row r="549" spans="4:5" x14ac:dyDescent="0.35">
      <c r="D549">
        <v>4406</v>
      </c>
      <c r="E549">
        <v>32902.9</v>
      </c>
    </row>
    <row r="550" spans="4:5" x14ac:dyDescent="0.35">
      <c r="D550">
        <v>4296</v>
      </c>
      <c r="E550">
        <v>32850.730000000003</v>
      </c>
    </row>
    <row r="551" spans="4:5" x14ac:dyDescent="0.35">
      <c r="D551">
        <v>3631</v>
      </c>
      <c r="E551">
        <v>32737.31</v>
      </c>
    </row>
    <row r="552" spans="4:5" x14ac:dyDescent="0.35">
      <c r="D552">
        <v>4340</v>
      </c>
      <c r="E552">
        <v>32724.18</v>
      </c>
    </row>
    <row r="553" spans="4:5" x14ac:dyDescent="0.35">
      <c r="D553">
        <v>4866</v>
      </c>
      <c r="E553">
        <v>32641.49</v>
      </c>
    </row>
    <row r="554" spans="4:5" x14ac:dyDescent="0.35">
      <c r="D554">
        <v>4114</v>
      </c>
      <c r="E554">
        <v>32571.8</v>
      </c>
    </row>
    <row r="555" spans="4:5" x14ac:dyDescent="0.35">
      <c r="D555">
        <v>4200</v>
      </c>
      <c r="E555">
        <v>32466.66</v>
      </c>
    </row>
    <row r="556" spans="4:5" x14ac:dyDescent="0.35">
      <c r="D556">
        <v>4230</v>
      </c>
      <c r="E556">
        <v>32353.49</v>
      </c>
    </row>
    <row r="557" spans="4:5" x14ac:dyDescent="0.35">
      <c r="D557">
        <v>4949</v>
      </c>
      <c r="E557">
        <v>32281.47</v>
      </c>
    </row>
    <row r="558" spans="4:5" x14ac:dyDescent="0.35">
      <c r="D558">
        <v>4660</v>
      </c>
      <c r="E558">
        <v>32162.19</v>
      </c>
    </row>
    <row r="559" spans="4:5" x14ac:dyDescent="0.35">
      <c r="D559">
        <v>4189</v>
      </c>
      <c r="E559">
        <v>32127.439999999999</v>
      </c>
    </row>
    <row r="560" spans="4:5" x14ac:dyDescent="0.35">
      <c r="D560">
        <v>4869</v>
      </c>
      <c r="E560">
        <v>32093.279999999999</v>
      </c>
    </row>
    <row r="561" spans="4:5" x14ac:dyDescent="0.35">
      <c r="D561">
        <v>4300</v>
      </c>
      <c r="E561">
        <v>32089.39</v>
      </c>
    </row>
    <row r="562" spans="4:5" x14ac:dyDescent="0.35">
      <c r="D562">
        <v>4914</v>
      </c>
      <c r="E562">
        <v>31836.58</v>
      </c>
    </row>
    <row r="563" spans="4:5" x14ac:dyDescent="0.35">
      <c r="D563">
        <v>4641</v>
      </c>
      <c r="E563">
        <v>31767.85</v>
      </c>
    </row>
    <row r="564" spans="4:5" x14ac:dyDescent="0.35">
      <c r="D564">
        <v>4332</v>
      </c>
      <c r="E564">
        <v>31560.84</v>
      </c>
    </row>
    <row r="565" spans="4:5" x14ac:dyDescent="0.35">
      <c r="D565">
        <v>4490</v>
      </c>
      <c r="E565">
        <v>31547.33</v>
      </c>
    </row>
    <row r="566" spans="4:5" x14ac:dyDescent="0.35">
      <c r="D566">
        <v>4856</v>
      </c>
      <c r="E566">
        <v>31367.5</v>
      </c>
    </row>
    <row r="567" spans="4:5" x14ac:dyDescent="0.35">
      <c r="D567">
        <v>4169</v>
      </c>
      <c r="E567">
        <v>31299.91</v>
      </c>
    </row>
    <row r="568" spans="4:5" x14ac:dyDescent="0.35">
      <c r="D568">
        <v>4806</v>
      </c>
      <c r="E568">
        <v>31293.7</v>
      </c>
    </row>
    <row r="569" spans="4:5" x14ac:dyDescent="0.35">
      <c r="D569">
        <v>4622</v>
      </c>
      <c r="E569">
        <v>31256.44</v>
      </c>
    </row>
    <row r="570" spans="4:5" x14ac:dyDescent="0.35">
      <c r="D570">
        <v>4633</v>
      </c>
      <c r="E570">
        <v>31237.51</v>
      </c>
    </row>
    <row r="571" spans="4:5" x14ac:dyDescent="0.35">
      <c r="D571">
        <v>4361</v>
      </c>
      <c r="E571">
        <v>31132.43</v>
      </c>
    </row>
    <row r="572" spans="4:5" x14ac:dyDescent="0.35">
      <c r="D572">
        <v>4432</v>
      </c>
      <c r="E572">
        <v>31124.79</v>
      </c>
    </row>
    <row r="573" spans="4:5" x14ac:dyDescent="0.35">
      <c r="D573">
        <v>4967</v>
      </c>
      <c r="E573">
        <v>30967.64</v>
      </c>
    </row>
    <row r="574" spans="4:5" x14ac:dyDescent="0.35">
      <c r="D574">
        <v>3879</v>
      </c>
      <c r="E574">
        <v>30889.38</v>
      </c>
    </row>
    <row r="575" spans="4:5" x14ac:dyDescent="0.35">
      <c r="D575">
        <v>4256</v>
      </c>
      <c r="E575">
        <v>30841.61</v>
      </c>
    </row>
    <row r="576" spans="4:5" x14ac:dyDescent="0.35">
      <c r="D576">
        <v>4457</v>
      </c>
      <c r="E576">
        <v>30804.97</v>
      </c>
    </row>
    <row r="577" spans="4:5" x14ac:dyDescent="0.35">
      <c r="D577">
        <v>4874</v>
      </c>
      <c r="E577">
        <v>30441.71</v>
      </c>
    </row>
    <row r="578" spans="4:5" x14ac:dyDescent="0.35">
      <c r="D578">
        <v>4371</v>
      </c>
      <c r="E578">
        <v>30393.93</v>
      </c>
    </row>
    <row r="579" spans="4:5" x14ac:dyDescent="0.35">
      <c r="D579">
        <v>2638</v>
      </c>
      <c r="E579">
        <v>30349.360000000001</v>
      </c>
    </row>
    <row r="580" spans="4:5" x14ac:dyDescent="0.35">
      <c r="D580">
        <v>4810</v>
      </c>
      <c r="E580">
        <v>30341.08</v>
      </c>
    </row>
    <row r="581" spans="4:5" x14ac:dyDescent="0.35">
      <c r="D581">
        <v>4321</v>
      </c>
      <c r="E581">
        <v>30248.9</v>
      </c>
    </row>
    <row r="582" spans="4:5" x14ac:dyDescent="0.35">
      <c r="D582">
        <v>4159</v>
      </c>
      <c r="E582">
        <v>30209.46</v>
      </c>
    </row>
    <row r="583" spans="4:5" x14ac:dyDescent="0.35">
      <c r="D583">
        <v>4599</v>
      </c>
      <c r="E583">
        <v>30192.61</v>
      </c>
    </row>
    <row r="584" spans="4:5" x14ac:dyDescent="0.35">
      <c r="D584">
        <v>4466</v>
      </c>
      <c r="E584">
        <v>29994.26</v>
      </c>
    </row>
    <row r="585" spans="4:5" x14ac:dyDescent="0.35">
      <c r="D585">
        <v>4565</v>
      </c>
      <c r="E585">
        <v>29992.59</v>
      </c>
    </row>
    <row r="586" spans="4:5" x14ac:dyDescent="0.35">
      <c r="D586">
        <v>4496</v>
      </c>
      <c r="E586">
        <v>29935.31</v>
      </c>
    </row>
    <row r="587" spans="4:5" x14ac:dyDescent="0.35">
      <c r="D587">
        <v>3695</v>
      </c>
      <c r="E587">
        <v>29909.89</v>
      </c>
    </row>
    <row r="588" spans="4:5" x14ac:dyDescent="0.35">
      <c r="D588">
        <v>3461</v>
      </c>
      <c r="E588">
        <v>29869.48</v>
      </c>
    </row>
    <row r="589" spans="4:5" x14ac:dyDescent="0.35">
      <c r="D589">
        <v>4545</v>
      </c>
      <c r="E589">
        <v>29828.6</v>
      </c>
    </row>
    <row r="590" spans="4:5" x14ac:dyDescent="0.35">
      <c r="D590">
        <v>4861</v>
      </c>
      <c r="E590">
        <v>29782.63</v>
      </c>
    </row>
    <row r="591" spans="4:5" x14ac:dyDescent="0.35">
      <c r="D591">
        <v>4377</v>
      </c>
      <c r="E591">
        <v>29773.84</v>
      </c>
    </row>
    <row r="592" spans="4:5" x14ac:dyDescent="0.35">
      <c r="D592">
        <v>4195</v>
      </c>
      <c r="E592">
        <v>29724.47</v>
      </c>
    </row>
    <row r="593" spans="4:5" x14ac:dyDescent="0.35">
      <c r="D593">
        <v>4725</v>
      </c>
      <c r="E593">
        <v>29687.82</v>
      </c>
    </row>
    <row r="594" spans="4:5" x14ac:dyDescent="0.35">
      <c r="D594">
        <v>4504</v>
      </c>
      <c r="E594">
        <v>29677.8</v>
      </c>
    </row>
    <row r="595" spans="4:5" x14ac:dyDescent="0.35">
      <c r="D595">
        <v>3970</v>
      </c>
      <c r="E595">
        <v>29604.2</v>
      </c>
    </row>
    <row r="596" spans="4:5" x14ac:dyDescent="0.35">
      <c r="D596">
        <v>3907</v>
      </c>
      <c r="E596">
        <v>29500.71</v>
      </c>
    </row>
    <row r="597" spans="4:5" x14ac:dyDescent="0.35">
      <c r="D597">
        <v>4036</v>
      </c>
      <c r="E597">
        <v>29481.07</v>
      </c>
    </row>
    <row r="598" spans="4:5" x14ac:dyDescent="0.35">
      <c r="D598">
        <v>4631</v>
      </c>
      <c r="E598">
        <v>29402.68</v>
      </c>
    </row>
    <row r="599" spans="4:5" x14ac:dyDescent="0.35">
      <c r="D599">
        <v>4276</v>
      </c>
      <c r="E599">
        <v>29377.31</v>
      </c>
    </row>
    <row r="600" spans="4:5" x14ac:dyDescent="0.35">
      <c r="D600">
        <v>4428</v>
      </c>
      <c r="E600">
        <v>29336.77</v>
      </c>
    </row>
    <row r="601" spans="4:5" x14ac:dyDescent="0.35">
      <c r="D601">
        <v>4941</v>
      </c>
      <c r="E601">
        <v>29332.22</v>
      </c>
    </row>
    <row r="602" spans="4:5" x14ac:dyDescent="0.35">
      <c r="D602">
        <v>3909</v>
      </c>
      <c r="E602">
        <v>29318.86</v>
      </c>
    </row>
    <row r="603" spans="4:5" x14ac:dyDescent="0.35">
      <c r="D603">
        <v>4231</v>
      </c>
      <c r="E603">
        <v>29309.68</v>
      </c>
    </row>
    <row r="604" spans="4:5" x14ac:dyDescent="0.35">
      <c r="D604">
        <v>5050</v>
      </c>
      <c r="E604">
        <v>29227.63</v>
      </c>
    </row>
    <row r="605" spans="4:5" x14ac:dyDescent="0.35">
      <c r="D605">
        <v>4963</v>
      </c>
      <c r="E605">
        <v>29145.02</v>
      </c>
    </row>
    <row r="606" spans="4:5" x14ac:dyDescent="0.35">
      <c r="D606">
        <v>4836</v>
      </c>
      <c r="E606">
        <v>29081.78</v>
      </c>
    </row>
    <row r="607" spans="4:5" x14ac:dyDescent="0.35">
      <c r="D607">
        <v>4271</v>
      </c>
      <c r="E607">
        <v>28934.560000000001</v>
      </c>
    </row>
    <row r="608" spans="4:5" x14ac:dyDescent="0.35">
      <c r="D608">
        <v>4557</v>
      </c>
      <c r="E608">
        <v>28901.119999999999</v>
      </c>
    </row>
    <row r="609" spans="4:5" x14ac:dyDescent="0.35">
      <c r="D609">
        <v>4184</v>
      </c>
      <c r="E609">
        <v>28859.33</v>
      </c>
    </row>
    <row r="610" spans="4:5" x14ac:dyDescent="0.35">
      <c r="D610">
        <v>4382</v>
      </c>
      <c r="E610">
        <v>28813.759999999998</v>
      </c>
    </row>
    <row r="611" spans="4:5" x14ac:dyDescent="0.35">
      <c r="D611">
        <v>3041</v>
      </c>
      <c r="E611">
        <v>28784.06</v>
      </c>
    </row>
    <row r="612" spans="4:5" x14ac:dyDescent="0.35">
      <c r="D612">
        <v>4979</v>
      </c>
      <c r="E612">
        <v>28761.16</v>
      </c>
    </row>
    <row r="613" spans="4:5" x14ac:dyDescent="0.35">
      <c r="D613">
        <v>4950</v>
      </c>
      <c r="E613">
        <v>28743.61</v>
      </c>
    </row>
    <row r="614" spans="4:5" x14ac:dyDescent="0.35">
      <c r="D614">
        <v>4867</v>
      </c>
      <c r="E614">
        <v>28445.52</v>
      </c>
    </row>
    <row r="615" spans="4:5" x14ac:dyDescent="0.35">
      <c r="D615">
        <v>4374</v>
      </c>
      <c r="E615">
        <v>28408</v>
      </c>
    </row>
    <row r="616" spans="4:5" x14ac:dyDescent="0.35">
      <c r="D616">
        <v>4317</v>
      </c>
      <c r="E616">
        <v>28250.55</v>
      </c>
    </row>
    <row r="617" spans="4:5" x14ac:dyDescent="0.35">
      <c r="D617">
        <v>4155</v>
      </c>
      <c r="E617">
        <v>28205.17</v>
      </c>
    </row>
    <row r="618" spans="4:5" x14ac:dyDescent="0.35">
      <c r="D618">
        <v>4970</v>
      </c>
      <c r="E618">
        <v>28161.15</v>
      </c>
    </row>
    <row r="619" spans="4:5" x14ac:dyDescent="0.35">
      <c r="D619">
        <v>4346</v>
      </c>
      <c r="E619">
        <v>28128.35</v>
      </c>
    </row>
    <row r="620" spans="4:5" x14ac:dyDescent="0.35">
      <c r="D620">
        <v>4283</v>
      </c>
      <c r="E620">
        <v>28124.02</v>
      </c>
    </row>
    <row r="621" spans="4:5" x14ac:dyDescent="0.35">
      <c r="D621">
        <v>4568</v>
      </c>
      <c r="E621">
        <v>27992.74</v>
      </c>
    </row>
    <row r="622" spans="4:5" x14ac:dyDescent="0.35">
      <c r="D622">
        <v>3712</v>
      </c>
      <c r="E622">
        <v>27930.54</v>
      </c>
    </row>
    <row r="623" spans="4:5" x14ac:dyDescent="0.35">
      <c r="D623">
        <v>4595</v>
      </c>
      <c r="E623">
        <v>27917.57</v>
      </c>
    </row>
    <row r="624" spans="4:5" x14ac:dyDescent="0.35">
      <c r="D624">
        <v>2964</v>
      </c>
      <c r="E624">
        <v>27854.74</v>
      </c>
    </row>
    <row r="625" spans="4:5" x14ac:dyDescent="0.35">
      <c r="D625">
        <v>3654</v>
      </c>
      <c r="E625">
        <v>27839.48</v>
      </c>
    </row>
    <row r="626" spans="4:5" x14ac:dyDescent="0.35">
      <c r="D626">
        <v>4392</v>
      </c>
      <c r="E626">
        <v>27834.04</v>
      </c>
    </row>
    <row r="627" spans="4:5" x14ac:dyDescent="0.35">
      <c r="D627">
        <v>4474</v>
      </c>
      <c r="E627">
        <v>27729.82</v>
      </c>
    </row>
    <row r="628" spans="4:5" x14ac:dyDescent="0.35">
      <c r="D628">
        <v>3831</v>
      </c>
      <c r="E628">
        <v>27717.05</v>
      </c>
    </row>
    <row r="629" spans="4:5" x14ac:dyDescent="0.35">
      <c r="D629">
        <v>3870</v>
      </c>
      <c r="E629">
        <v>27667.02</v>
      </c>
    </row>
    <row r="630" spans="4:5" x14ac:dyDescent="0.35">
      <c r="D630">
        <v>4795</v>
      </c>
      <c r="E630">
        <v>27633.24</v>
      </c>
    </row>
    <row r="631" spans="4:5" x14ac:dyDescent="0.35">
      <c r="D631">
        <v>4461</v>
      </c>
      <c r="E631">
        <v>27583.01</v>
      </c>
    </row>
    <row r="632" spans="4:5" x14ac:dyDescent="0.35">
      <c r="D632">
        <v>2113</v>
      </c>
      <c r="E632">
        <v>27558.01</v>
      </c>
    </row>
    <row r="633" spans="4:5" x14ac:dyDescent="0.35">
      <c r="D633">
        <v>4132</v>
      </c>
      <c r="E633">
        <v>27398.3</v>
      </c>
    </row>
    <row r="634" spans="4:5" x14ac:dyDescent="0.35">
      <c r="D634">
        <v>4384</v>
      </c>
      <c r="E634">
        <v>27320.52</v>
      </c>
    </row>
    <row r="635" spans="4:5" x14ac:dyDescent="0.35">
      <c r="D635">
        <v>4447</v>
      </c>
      <c r="E635">
        <v>27283.09</v>
      </c>
    </row>
    <row r="636" spans="4:5" x14ac:dyDescent="0.35">
      <c r="D636">
        <v>3855</v>
      </c>
      <c r="E636">
        <v>27068.63</v>
      </c>
    </row>
    <row r="637" spans="4:5" x14ac:dyDescent="0.35">
      <c r="D637">
        <v>4343</v>
      </c>
      <c r="E637">
        <v>27068.51</v>
      </c>
    </row>
    <row r="638" spans="4:5" x14ac:dyDescent="0.35">
      <c r="D638">
        <v>4718</v>
      </c>
      <c r="E638">
        <v>27043.82</v>
      </c>
    </row>
    <row r="639" spans="4:5" x14ac:dyDescent="0.35">
      <c r="D639">
        <v>4006</v>
      </c>
      <c r="E639">
        <v>26929.09</v>
      </c>
    </row>
    <row r="640" spans="4:5" x14ac:dyDescent="0.35">
      <c r="D640">
        <v>3664</v>
      </c>
      <c r="E640">
        <v>26897.16</v>
      </c>
    </row>
    <row r="641" spans="4:5" x14ac:dyDescent="0.35">
      <c r="D641">
        <v>3766</v>
      </c>
      <c r="E641">
        <v>26837.35</v>
      </c>
    </row>
    <row r="642" spans="4:5" x14ac:dyDescent="0.35">
      <c r="D642">
        <v>4444</v>
      </c>
      <c r="E642">
        <v>26679.599999999999</v>
      </c>
    </row>
    <row r="643" spans="4:5" x14ac:dyDescent="0.35">
      <c r="D643">
        <v>4376</v>
      </c>
      <c r="E643">
        <v>26632.37</v>
      </c>
    </row>
    <row r="644" spans="4:5" x14ac:dyDescent="0.35">
      <c r="D644">
        <v>4186</v>
      </c>
      <c r="E644">
        <v>26530.94</v>
      </c>
    </row>
    <row r="645" spans="4:5" x14ac:dyDescent="0.35">
      <c r="D645">
        <v>3782</v>
      </c>
      <c r="E645">
        <v>26512.22</v>
      </c>
    </row>
    <row r="646" spans="4:5" x14ac:dyDescent="0.35">
      <c r="D646">
        <v>3056</v>
      </c>
      <c r="E646">
        <v>26501.02</v>
      </c>
    </row>
    <row r="647" spans="4:5" x14ac:dyDescent="0.35">
      <c r="D647">
        <v>4234</v>
      </c>
      <c r="E647">
        <v>26496.9</v>
      </c>
    </row>
    <row r="648" spans="4:5" x14ac:dyDescent="0.35">
      <c r="D648">
        <v>4859</v>
      </c>
      <c r="E648">
        <v>26250.98</v>
      </c>
    </row>
    <row r="649" spans="4:5" x14ac:dyDescent="0.35">
      <c r="D649">
        <v>4254</v>
      </c>
      <c r="E649">
        <v>26230.84</v>
      </c>
    </row>
    <row r="650" spans="4:5" x14ac:dyDescent="0.35">
      <c r="D650">
        <v>4713</v>
      </c>
      <c r="E650">
        <v>26059.15</v>
      </c>
    </row>
    <row r="651" spans="4:5" x14ac:dyDescent="0.35">
      <c r="D651">
        <v>4705</v>
      </c>
      <c r="E651">
        <v>26013.48</v>
      </c>
    </row>
    <row r="652" spans="4:5" x14ac:dyDescent="0.35">
      <c r="D652">
        <v>4375</v>
      </c>
      <c r="E652">
        <v>25922.26</v>
      </c>
    </row>
    <row r="653" spans="4:5" x14ac:dyDescent="0.35">
      <c r="D653">
        <v>4191</v>
      </c>
      <c r="E653">
        <v>25921.3</v>
      </c>
    </row>
    <row r="654" spans="4:5" x14ac:dyDescent="0.35">
      <c r="D654">
        <v>4654</v>
      </c>
      <c r="E654">
        <v>25897.87</v>
      </c>
    </row>
    <row r="655" spans="4:5" x14ac:dyDescent="0.35">
      <c r="D655">
        <v>4747</v>
      </c>
      <c r="E655">
        <v>25888.55</v>
      </c>
    </row>
    <row r="656" spans="4:5" x14ac:dyDescent="0.35">
      <c r="D656">
        <v>4072</v>
      </c>
      <c r="E656">
        <v>25714.2</v>
      </c>
    </row>
    <row r="657" spans="4:5" x14ac:dyDescent="0.35">
      <c r="D657">
        <v>4439</v>
      </c>
      <c r="E657">
        <v>25588.35</v>
      </c>
    </row>
    <row r="658" spans="4:5" x14ac:dyDescent="0.35">
      <c r="D658">
        <v>4945</v>
      </c>
      <c r="E658">
        <v>25574.71</v>
      </c>
    </row>
    <row r="659" spans="4:5" x14ac:dyDescent="0.35">
      <c r="D659">
        <v>4275</v>
      </c>
      <c r="E659">
        <v>25438.84</v>
      </c>
    </row>
    <row r="660" spans="4:5" x14ac:dyDescent="0.35">
      <c r="D660">
        <v>4419</v>
      </c>
      <c r="E660">
        <v>25420.17</v>
      </c>
    </row>
    <row r="661" spans="4:5" x14ac:dyDescent="0.35">
      <c r="D661">
        <v>4405</v>
      </c>
      <c r="E661">
        <v>25361.16</v>
      </c>
    </row>
    <row r="662" spans="4:5" x14ac:dyDescent="0.35">
      <c r="D662">
        <v>3763</v>
      </c>
      <c r="E662">
        <v>25313.22</v>
      </c>
    </row>
    <row r="663" spans="4:5" x14ac:dyDescent="0.35">
      <c r="D663">
        <v>4960</v>
      </c>
      <c r="E663">
        <v>25312.04</v>
      </c>
    </row>
    <row r="664" spans="4:5" x14ac:dyDescent="0.35">
      <c r="D664">
        <v>3916</v>
      </c>
      <c r="E664">
        <v>25252.86</v>
      </c>
    </row>
    <row r="665" spans="4:5" x14ac:dyDescent="0.35">
      <c r="D665">
        <v>4845</v>
      </c>
      <c r="E665">
        <v>25194.240000000002</v>
      </c>
    </row>
    <row r="666" spans="4:5" x14ac:dyDescent="0.35">
      <c r="D666">
        <v>4166</v>
      </c>
      <c r="E666">
        <v>25142.03</v>
      </c>
    </row>
    <row r="667" spans="4:5" x14ac:dyDescent="0.35">
      <c r="D667">
        <v>4067</v>
      </c>
      <c r="E667">
        <v>25116.52</v>
      </c>
    </row>
    <row r="668" spans="4:5" x14ac:dyDescent="0.35">
      <c r="D668">
        <v>2559</v>
      </c>
      <c r="E668">
        <v>25090.28</v>
      </c>
    </row>
    <row r="669" spans="4:5" x14ac:dyDescent="0.35">
      <c r="D669">
        <v>5102</v>
      </c>
      <c r="E669">
        <v>25089.34</v>
      </c>
    </row>
    <row r="670" spans="4:5" x14ac:dyDescent="0.35">
      <c r="D670">
        <v>3065</v>
      </c>
      <c r="E670">
        <v>25002.95</v>
      </c>
    </row>
    <row r="671" spans="4:5" x14ac:dyDescent="0.35">
      <c r="D671">
        <v>4475</v>
      </c>
      <c r="E671">
        <v>24969.81</v>
      </c>
    </row>
    <row r="672" spans="4:5" x14ac:dyDescent="0.35">
      <c r="D672">
        <v>4318</v>
      </c>
      <c r="E672">
        <v>24925.37</v>
      </c>
    </row>
    <row r="673" spans="4:5" x14ac:dyDescent="0.35">
      <c r="D673">
        <v>4694</v>
      </c>
      <c r="E673">
        <v>24760.65</v>
      </c>
    </row>
    <row r="674" spans="4:5" x14ac:dyDescent="0.35">
      <c r="D674">
        <v>4010</v>
      </c>
      <c r="E674">
        <v>24603.16</v>
      </c>
    </row>
    <row r="675" spans="4:5" x14ac:dyDescent="0.35">
      <c r="D675">
        <v>3947</v>
      </c>
      <c r="E675">
        <v>24477.88</v>
      </c>
    </row>
    <row r="676" spans="4:5" x14ac:dyDescent="0.35">
      <c r="D676">
        <v>4698</v>
      </c>
      <c r="E676">
        <v>24397.39</v>
      </c>
    </row>
    <row r="677" spans="4:5" x14ac:dyDescent="0.35">
      <c r="D677">
        <v>3045</v>
      </c>
      <c r="E677">
        <v>24368.2</v>
      </c>
    </row>
    <row r="678" spans="4:5" x14ac:dyDescent="0.35">
      <c r="D678">
        <v>4964</v>
      </c>
      <c r="E678">
        <v>24347.9</v>
      </c>
    </row>
    <row r="679" spans="4:5" x14ac:dyDescent="0.35">
      <c r="D679">
        <v>3918</v>
      </c>
      <c r="E679">
        <v>24330.1</v>
      </c>
    </row>
    <row r="680" spans="4:5" x14ac:dyDescent="0.35">
      <c r="D680">
        <v>4307</v>
      </c>
      <c r="E680">
        <v>24304.97</v>
      </c>
    </row>
    <row r="681" spans="4:5" x14ac:dyDescent="0.35">
      <c r="D681">
        <v>3679</v>
      </c>
      <c r="E681">
        <v>24252.91</v>
      </c>
    </row>
    <row r="682" spans="4:5" x14ac:dyDescent="0.35">
      <c r="D682">
        <v>2850</v>
      </c>
      <c r="E682">
        <v>24021.49</v>
      </c>
    </row>
    <row r="683" spans="4:5" x14ac:dyDescent="0.35">
      <c r="D683">
        <v>4248</v>
      </c>
      <c r="E683">
        <v>23907.74</v>
      </c>
    </row>
    <row r="684" spans="4:5" x14ac:dyDescent="0.35">
      <c r="D684">
        <v>4881</v>
      </c>
      <c r="E684">
        <v>23885.7</v>
      </c>
    </row>
    <row r="685" spans="4:5" x14ac:dyDescent="0.35">
      <c r="D685">
        <v>4437</v>
      </c>
      <c r="E685">
        <v>23862.01</v>
      </c>
    </row>
    <row r="686" spans="4:5" x14ac:dyDescent="0.35">
      <c r="D686">
        <v>2475</v>
      </c>
      <c r="E686">
        <v>23840.26</v>
      </c>
    </row>
    <row r="687" spans="4:5" x14ac:dyDescent="0.35">
      <c r="D687">
        <v>4602</v>
      </c>
      <c r="E687">
        <v>23834.71</v>
      </c>
    </row>
    <row r="688" spans="4:5" x14ac:dyDescent="0.35">
      <c r="D688">
        <v>2609</v>
      </c>
      <c r="E688">
        <v>23830.79</v>
      </c>
    </row>
    <row r="689" spans="4:5" x14ac:dyDescent="0.35">
      <c r="D689">
        <v>4081</v>
      </c>
      <c r="E689">
        <v>23694.55</v>
      </c>
    </row>
    <row r="690" spans="4:5" x14ac:dyDescent="0.35">
      <c r="D690">
        <v>4360</v>
      </c>
      <c r="E690">
        <v>23680.48</v>
      </c>
    </row>
    <row r="691" spans="4:5" x14ac:dyDescent="0.35">
      <c r="D691">
        <v>2445</v>
      </c>
      <c r="E691">
        <v>23678.61</v>
      </c>
    </row>
    <row r="692" spans="4:5" x14ac:dyDescent="0.35">
      <c r="D692">
        <v>4449</v>
      </c>
      <c r="E692">
        <v>23505.25</v>
      </c>
    </row>
    <row r="693" spans="4:5" x14ac:dyDescent="0.35">
      <c r="D693">
        <v>2152</v>
      </c>
      <c r="E693">
        <v>23491.77</v>
      </c>
    </row>
    <row r="694" spans="4:5" x14ac:dyDescent="0.35">
      <c r="D694">
        <v>4471</v>
      </c>
      <c r="E694">
        <v>23413.98</v>
      </c>
    </row>
    <row r="695" spans="4:5" x14ac:dyDescent="0.35">
      <c r="D695">
        <v>4313</v>
      </c>
      <c r="E695">
        <v>23350.59</v>
      </c>
    </row>
    <row r="696" spans="4:5" x14ac:dyDescent="0.35">
      <c r="D696">
        <v>4572</v>
      </c>
      <c r="E696">
        <v>23340.22</v>
      </c>
    </row>
    <row r="697" spans="4:5" x14ac:dyDescent="0.35">
      <c r="D697">
        <v>4719</v>
      </c>
      <c r="E697">
        <v>23285.94</v>
      </c>
    </row>
    <row r="698" spans="4:5" x14ac:dyDescent="0.35">
      <c r="D698">
        <v>3756</v>
      </c>
      <c r="E698">
        <v>23247.51</v>
      </c>
    </row>
    <row r="699" spans="4:5" x14ac:dyDescent="0.35">
      <c r="D699">
        <v>4433</v>
      </c>
      <c r="E699">
        <v>23062.35</v>
      </c>
    </row>
    <row r="700" spans="4:5" x14ac:dyDescent="0.35">
      <c r="D700">
        <v>4600</v>
      </c>
      <c r="E700">
        <v>23006.720000000001</v>
      </c>
    </row>
    <row r="701" spans="4:5" x14ac:dyDescent="0.35">
      <c r="D701">
        <v>4841</v>
      </c>
      <c r="E701">
        <v>22984.74</v>
      </c>
    </row>
    <row r="702" spans="4:5" x14ac:dyDescent="0.35">
      <c r="D702">
        <v>4250</v>
      </c>
      <c r="E702">
        <v>22970.63</v>
      </c>
    </row>
    <row r="703" spans="4:5" x14ac:dyDescent="0.35">
      <c r="D703">
        <v>3655</v>
      </c>
      <c r="E703">
        <v>22864.400000000001</v>
      </c>
    </row>
    <row r="704" spans="4:5" x14ac:dyDescent="0.35">
      <c r="D704">
        <v>4674</v>
      </c>
      <c r="E704">
        <v>22837.88</v>
      </c>
    </row>
    <row r="705" spans="4:5" x14ac:dyDescent="0.35">
      <c r="D705">
        <v>4117</v>
      </c>
      <c r="E705">
        <v>22837.599999999999</v>
      </c>
    </row>
    <row r="706" spans="4:5" x14ac:dyDescent="0.35">
      <c r="D706">
        <v>4696</v>
      </c>
      <c r="E706">
        <v>22754.23</v>
      </c>
    </row>
    <row r="707" spans="4:5" x14ac:dyDescent="0.35">
      <c r="D707">
        <v>4299</v>
      </c>
      <c r="E707">
        <v>22734.6</v>
      </c>
    </row>
    <row r="708" spans="4:5" x14ac:dyDescent="0.35">
      <c r="D708">
        <v>4266</v>
      </c>
      <c r="E708">
        <v>22716.18</v>
      </c>
    </row>
    <row r="709" spans="4:5" x14ac:dyDescent="0.35">
      <c r="D709">
        <v>4154</v>
      </c>
      <c r="E709">
        <v>22595.5</v>
      </c>
    </row>
    <row r="710" spans="4:5" x14ac:dyDescent="0.35">
      <c r="D710">
        <v>4464</v>
      </c>
      <c r="E710">
        <v>22535.69</v>
      </c>
    </row>
    <row r="711" spans="4:5" x14ac:dyDescent="0.35">
      <c r="D711">
        <v>4797</v>
      </c>
      <c r="E711">
        <v>22321.62</v>
      </c>
    </row>
    <row r="712" spans="4:5" x14ac:dyDescent="0.35">
      <c r="D712">
        <v>4368</v>
      </c>
      <c r="E712">
        <v>22208.11</v>
      </c>
    </row>
    <row r="713" spans="4:5" x14ac:dyDescent="0.35">
      <c r="D713">
        <v>4741</v>
      </c>
      <c r="E713">
        <v>22175.759999999998</v>
      </c>
    </row>
    <row r="714" spans="4:5" x14ac:dyDescent="0.35">
      <c r="D714">
        <v>2459</v>
      </c>
      <c r="E714">
        <v>22168.74</v>
      </c>
    </row>
    <row r="715" spans="4:5" x14ac:dyDescent="0.35">
      <c r="D715">
        <v>4993</v>
      </c>
      <c r="E715">
        <v>22075.1</v>
      </c>
    </row>
    <row r="716" spans="4:5" x14ac:dyDescent="0.35">
      <c r="D716">
        <v>4608</v>
      </c>
      <c r="E716">
        <v>22030.03</v>
      </c>
    </row>
    <row r="717" spans="4:5" x14ac:dyDescent="0.35">
      <c r="D717">
        <v>4473</v>
      </c>
      <c r="E717">
        <v>21930.06</v>
      </c>
    </row>
    <row r="718" spans="4:5" x14ac:dyDescent="0.35">
      <c r="D718">
        <v>4149</v>
      </c>
      <c r="E718">
        <v>21732.48</v>
      </c>
    </row>
    <row r="719" spans="4:5" x14ac:dyDescent="0.35">
      <c r="D719">
        <v>4410</v>
      </c>
      <c r="E719">
        <v>21692.82</v>
      </c>
    </row>
    <row r="720" spans="4:5" x14ac:dyDescent="0.35">
      <c r="D720">
        <v>2852</v>
      </c>
      <c r="E720">
        <v>21688.77</v>
      </c>
    </row>
    <row r="721" spans="4:5" x14ac:dyDescent="0.35">
      <c r="D721">
        <v>2848</v>
      </c>
      <c r="E721">
        <v>21668.46</v>
      </c>
    </row>
    <row r="722" spans="4:5" x14ac:dyDescent="0.35">
      <c r="D722">
        <v>4495</v>
      </c>
      <c r="E722">
        <v>21619.45</v>
      </c>
    </row>
    <row r="723" spans="4:5" x14ac:dyDescent="0.35">
      <c r="D723">
        <v>4370</v>
      </c>
      <c r="E723">
        <v>21612.59</v>
      </c>
    </row>
    <row r="724" spans="4:5" x14ac:dyDescent="0.35">
      <c r="D724">
        <v>4629</v>
      </c>
      <c r="E724">
        <v>21580.57</v>
      </c>
    </row>
    <row r="725" spans="4:5" x14ac:dyDescent="0.35">
      <c r="D725">
        <v>3576</v>
      </c>
      <c r="E725">
        <v>21518.59</v>
      </c>
    </row>
    <row r="726" spans="4:5" x14ac:dyDescent="0.35">
      <c r="D726">
        <v>3882</v>
      </c>
      <c r="E726">
        <v>21492.52</v>
      </c>
    </row>
    <row r="727" spans="4:5" x14ac:dyDescent="0.35">
      <c r="D727">
        <v>4411</v>
      </c>
      <c r="E727">
        <v>21453.95</v>
      </c>
    </row>
    <row r="728" spans="4:5" x14ac:dyDescent="0.35">
      <c r="D728">
        <v>4359</v>
      </c>
      <c r="E728">
        <v>21447.18</v>
      </c>
    </row>
    <row r="729" spans="4:5" x14ac:dyDescent="0.35">
      <c r="D729">
        <v>4909</v>
      </c>
      <c r="E729">
        <v>21409.87</v>
      </c>
    </row>
    <row r="730" spans="4:5" x14ac:dyDescent="0.35">
      <c r="D730">
        <v>4119</v>
      </c>
      <c r="E730">
        <v>21348.82</v>
      </c>
    </row>
    <row r="731" spans="4:5" x14ac:dyDescent="0.35">
      <c r="D731">
        <v>3813</v>
      </c>
      <c r="E731">
        <v>21310.47</v>
      </c>
    </row>
    <row r="732" spans="4:5" x14ac:dyDescent="0.35">
      <c r="D732">
        <v>2845</v>
      </c>
      <c r="E732">
        <v>21285.66</v>
      </c>
    </row>
    <row r="733" spans="4:5" x14ac:dyDescent="0.35">
      <c r="D733">
        <v>4956</v>
      </c>
      <c r="E733">
        <v>21223.4</v>
      </c>
    </row>
    <row r="734" spans="4:5" x14ac:dyDescent="0.35">
      <c r="D734">
        <v>4596</v>
      </c>
      <c r="E734">
        <v>21147.57</v>
      </c>
    </row>
    <row r="735" spans="4:5" x14ac:dyDescent="0.35">
      <c r="D735">
        <v>4955</v>
      </c>
      <c r="E735">
        <v>21133.66</v>
      </c>
    </row>
    <row r="736" spans="4:5" x14ac:dyDescent="0.35">
      <c r="D736">
        <v>4517</v>
      </c>
      <c r="E736">
        <v>21123.62</v>
      </c>
    </row>
    <row r="737" spans="4:5" x14ac:dyDescent="0.35">
      <c r="D737">
        <v>4182</v>
      </c>
      <c r="E737">
        <v>21076.87</v>
      </c>
    </row>
    <row r="738" spans="4:5" x14ac:dyDescent="0.35">
      <c r="D738">
        <v>4337</v>
      </c>
      <c r="E738">
        <v>21031.73</v>
      </c>
    </row>
    <row r="739" spans="4:5" x14ac:dyDescent="0.35">
      <c r="D739">
        <v>4647</v>
      </c>
      <c r="E739">
        <v>21001.68</v>
      </c>
    </row>
    <row r="740" spans="4:5" x14ac:dyDescent="0.35">
      <c r="D740">
        <v>4520</v>
      </c>
      <c r="E740">
        <v>20953.38</v>
      </c>
    </row>
    <row r="741" spans="4:5" x14ac:dyDescent="0.35">
      <c r="D741">
        <v>4598</v>
      </c>
      <c r="E741">
        <v>20933.900000000001</v>
      </c>
    </row>
    <row r="742" spans="4:5" x14ac:dyDescent="0.35">
      <c r="D742">
        <v>4310</v>
      </c>
      <c r="E742">
        <v>20881.419999999998</v>
      </c>
    </row>
    <row r="743" spans="4:5" x14ac:dyDescent="0.35">
      <c r="D743">
        <v>4177</v>
      </c>
      <c r="E743">
        <v>20859.14</v>
      </c>
    </row>
    <row r="744" spans="4:5" x14ac:dyDescent="0.35">
      <c r="D744">
        <v>4025</v>
      </c>
      <c r="E744">
        <v>20848.88</v>
      </c>
    </row>
    <row r="745" spans="4:5" x14ac:dyDescent="0.35">
      <c r="D745">
        <v>4511</v>
      </c>
      <c r="E745">
        <v>20832.830000000002</v>
      </c>
    </row>
    <row r="746" spans="4:5" x14ac:dyDescent="0.35">
      <c r="D746">
        <v>4380</v>
      </c>
      <c r="E746">
        <v>20749.62</v>
      </c>
    </row>
    <row r="747" spans="4:5" x14ac:dyDescent="0.35">
      <c r="D747">
        <v>4878</v>
      </c>
      <c r="E747">
        <v>20686.169999999998</v>
      </c>
    </row>
    <row r="748" spans="4:5" x14ac:dyDescent="0.35">
      <c r="D748">
        <v>4398</v>
      </c>
      <c r="E748">
        <v>20685.21</v>
      </c>
    </row>
    <row r="749" spans="4:5" x14ac:dyDescent="0.35">
      <c r="D749">
        <v>4769</v>
      </c>
      <c r="E749">
        <v>20558.5</v>
      </c>
    </row>
    <row r="750" spans="4:5" x14ac:dyDescent="0.35">
      <c r="D750">
        <v>4840</v>
      </c>
      <c r="E750">
        <v>20556.12</v>
      </c>
    </row>
    <row r="751" spans="4:5" x14ac:dyDescent="0.35">
      <c r="D751">
        <v>4731</v>
      </c>
      <c r="E751">
        <v>20535</v>
      </c>
    </row>
    <row r="752" spans="4:5" x14ac:dyDescent="0.35">
      <c r="D752">
        <v>4773</v>
      </c>
      <c r="E752">
        <v>20527.810000000001</v>
      </c>
    </row>
    <row r="753" spans="4:5" x14ac:dyDescent="0.35">
      <c r="D753">
        <v>4609</v>
      </c>
      <c r="E753">
        <v>20501.89</v>
      </c>
    </row>
    <row r="754" spans="4:5" x14ac:dyDescent="0.35">
      <c r="D754">
        <v>5001</v>
      </c>
      <c r="E754">
        <v>20485.990000000002</v>
      </c>
    </row>
    <row r="755" spans="4:5" x14ac:dyDescent="0.35">
      <c r="D755">
        <v>4547</v>
      </c>
      <c r="E755">
        <v>20479.900000000001</v>
      </c>
    </row>
    <row r="756" spans="4:5" x14ac:dyDescent="0.35">
      <c r="D756">
        <v>4800</v>
      </c>
      <c r="E756">
        <v>20428.2</v>
      </c>
    </row>
    <row r="757" spans="4:5" x14ac:dyDescent="0.35">
      <c r="D757">
        <v>4580</v>
      </c>
      <c r="E757">
        <v>20408.59</v>
      </c>
    </row>
    <row r="758" spans="4:5" x14ac:dyDescent="0.35">
      <c r="D758">
        <v>4732</v>
      </c>
      <c r="E758">
        <v>20403.84</v>
      </c>
    </row>
    <row r="759" spans="4:5" x14ac:dyDescent="0.35">
      <c r="D759">
        <v>4582</v>
      </c>
      <c r="E759">
        <v>20332.52</v>
      </c>
    </row>
    <row r="760" spans="4:5" x14ac:dyDescent="0.35">
      <c r="D760">
        <v>3876</v>
      </c>
      <c r="E760">
        <v>20307.27</v>
      </c>
    </row>
    <row r="761" spans="4:5" x14ac:dyDescent="0.35">
      <c r="D761">
        <v>4306</v>
      </c>
      <c r="E761">
        <v>20300.03</v>
      </c>
    </row>
    <row r="762" spans="4:5" x14ac:dyDescent="0.35">
      <c r="D762">
        <v>4414</v>
      </c>
      <c r="E762">
        <v>20271.259999999998</v>
      </c>
    </row>
    <row r="763" spans="4:5" x14ac:dyDescent="0.35">
      <c r="D763">
        <v>4942</v>
      </c>
      <c r="E763">
        <v>20226.12</v>
      </c>
    </row>
    <row r="764" spans="4:5" x14ac:dyDescent="0.35">
      <c r="D764">
        <v>4862</v>
      </c>
      <c r="E764">
        <v>20216.7</v>
      </c>
    </row>
    <row r="765" spans="4:5" x14ac:dyDescent="0.35">
      <c r="D765">
        <v>4284</v>
      </c>
      <c r="E765">
        <v>20199.39</v>
      </c>
    </row>
    <row r="766" spans="4:5" x14ac:dyDescent="0.35">
      <c r="D766">
        <v>4726</v>
      </c>
      <c r="E766">
        <v>20199.060000000001</v>
      </c>
    </row>
    <row r="767" spans="4:5" x14ac:dyDescent="0.35">
      <c r="D767">
        <v>4134</v>
      </c>
      <c r="E767">
        <v>20181.439999999999</v>
      </c>
    </row>
    <row r="768" spans="4:5" x14ac:dyDescent="0.35">
      <c r="D768">
        <v>4369</v>
      </c>
      <c r="E768">
        <v>20174.189999999999</v>
      </c>
    </row>
    <row r="769" spans="4:5" x14ac:dyDescent="0.35">
      <c r="D769">
        <v>4760</v>
      </c>
      <c r="E769">
        <v>20121.66</v>
      </c>
    </row>
    <row r="770" spans="4:5" x14ac:dyDescent="0.35">
      <c r="D770">
        <v>4808</v>
      </c>
      <c r="E770">
        <v>20037.259999999998</v>
      </c>
    </row>
    <row r="771" spans="4:5" x14ac:dyDescent="0.35">
      <c r="D771">
        <v>3616</v>
      </c>
      <c r="E771">
        <v>20007.060000000001</v>
      </c>
    </row>
    <row r="772" spans="4:5" x14ac:dyDescent="0.35">
      <c r="D772">
        <v>4427</v>
      </c>
      <c r="E772">
        <v>19950.37</v>
      </c>
    </row>
    <row r="773" spans="4:5" x14ac:dyDescent="0.35">
      <c r="D773">
        <v>4099</v>
      </c>
      <c r="E773">
        <v>19931.14</v>
      </c>
    </row>
    <row r="774" spans="4:5" x14ac:dyDescent="0.35">
      <c r="D774">
        <v>4637</v>
      </c>
      <c r="E774">
        <v>19911.53</v>
      </c>
    </row>
    <row r="775" spans="4:5" x14ac:dyDescent="0.35">
      <c r="D775">
        <v>4986</v>
      </c>
      <c r="E775">
        <v>19891.28</v>
      </c>
    </row>
    <row r="776" spans="4:5" x14ac:dyDescent="0.35">
      <c r="D776">
        <v>4798</v>
      </c>
      <c r="E776">
        <v>19816.64</v>
      </c>
    </row>
    <row r="777" spans="4:5" x14ac:dyDescent="0.35">
      <c r="D777">
        <v>4501</v>
      </c>
      <c r="E777">
        <v>19797.080000000002</v>
      </c>
    </row>
    <row r="778" spans="4:5" x14ac:dyDescent="0.35">
      <c r="D778">
        <v>4687</v>
      </c>
      <c r="E778">
        <v>19794.78</v>
      </c>
    </row>
    <row r="779" spans="4:5" x14ac:dyDescent="0.35">
      <c r="D779">
        <v>4404</v>
      </c>
      <c r="E779">
        <v>19766.52</v>
      </c>
    </row>
    <row r="780" spans="4:5" x14ac:dyDescent="0.35">
      <c r="D780">
        <v>4768</v>
      </c>
      <c r="E780">
        <v>19765.02</v>
      </c>
    </row>
    <row r="781" spans="4:5" x14ac:dyDescent="0.35">
      <c r="D781">
        <v>5043</v>
      </c>
      <c r="E781">
        <v>19751.07</v>
      </c>
    </row>
    <row r="782" spans="4:5" x14ac:dyDescent="0.35">
      <c r="D782">
        <v>4046</v>
      </c>
      <c r="E782">
        <v>19750.59</v>
      </c>
    </row>
    <row r="783" spans="4:5" x14ac:dyDescent="0.35">
      <c r="D783">
        <v>2537</v>
      </c>
      <c r="E783">
        <v>19718.490000000002</v>
      </c>
    </row>
    <row r="784" spans="4:5" x14ac:dyDescent="0.35">
      <c r="D784">
        <v>3403</v>
      </c>
      <c r="E784">
        <v>19663.25</v>
      </c>
    </row>
    <row r="785" spans="4:5" x14ac:dyDescent="0.35">
      <c r="D785">
        <v>4459</v>
      </c>
      <c r="E785">
        <v>19658.18</v>
      </c>
    </row>
    <row r="786" spans="4:5" x14ac:dyDescent="0.35">
      <c r="D786">
        <v>4583</v>
      </c>
      <c r="E786">
        <v>19647.689999999999</v>
      </c>
    </row>
    <row r="787" spans="4:5" x14ac:dyDescent="0.35">
      <c r="D787">
        <v>4181</v>
      </c>
      <c r="E787">
        <v>19647.59</v>
      </c>
    </row>
    <row r="788" spans="4:5" x14ac:dyDescent="0.35">
      <c r="D788">
        <v>4575</v>
      </c>
      <c r="E788">
        <v>19636.14</v>
      </c>
    </row>
    <row r="789" spans="4:5" x14ac:dyDescent="0.35">
      <c r="D789">
        <v>4868</v>
      </c>
      <c r="E789">
        <v>19634.03</v>
      </c>
    </row>
    <row r="790" spans="4:5" x14ac:dyDescent="0.35">
      <c r="D790">
        <v>4362</v>
      </c>
      <c r="E790">
        <v>19612.37</v>
      </c>
    </row>
    <row r="791" spans="4:5" x14ac:dyDescent="0.35">
      <c r="D791">
        <v>4125</v>
      </c>
      <c r="E791">
        <v>19564.53</v>
      </c>
    </row>
    <row r="792" spans="4:5" x14ac:dyDescent="0.35">
      <c r="D792">
        <v>4467</v>
      </c>
      <c r="E792">
        <v>19545.16</v>
      </c>
    </row>
    <row r="793" spans="4:5" x14ac:dyDescent="0.35">
      <c r="D793">
        <v>4355</v>
      </c>
      <c r="E793">
        <v>19498.669999999998</v>
      </c>
    </row>
    <row r="794" spans="4:5" x14ac:dyDescent="0.35">
      <c r="D794">
        <v>4451</v>
      </c>
      <c r="E794">
        <v>19485.78</v>
      </c>
    </row>
    <row r="795" spans="4:5" x14ac:dyDescent="0.35">
      <c r="D795">
        <v>2583</v>
      </c>
      <c r="E795">
        <v>19462.16</v>
      </c>
    </row>
    <row r="796" spans="4:5" x14ac:dyDescent="0.35">
      <c r="D796">
        <v>4450</v>
      </c>
      <c r="E796">
        <v>19412.12</v>
      </c>
    </row>
    <row r="797" spans="4:5" x14ac:dyDescent="0.35">
      <c r="D797">
        <v>4661</v>
      </c>
      <c r="E797">
        <v>19361.62</v>
      </c>
    </row>
    <row r="798" spans="4:5" x14ac:dyDescent="0.35">
      <c r="D798">
        <v>4366</v>
      </c>
      <c r="E798">
        <v>19159.63</v>
      </c>
    </row>
    <row r="799" spans="4:5" x14ac:dyDescent="0.35">
      <c r="D799">
        <v>2327</v>
      </c>
      <c r="E799">
        <v>19110.04</v>
      </c>
    </row>
    <row r="800" spans="4:5" x14ac:dyDescent="0.35">
      <c r="D800">
        <v>4774</v>
      </c>
      <c r="E800">
        <v>18986.490000000002</v>
      </c>
    </row>
    <row r="801" spans="4:5" x14ac:dyDescent="0.35">
      <c r="D801">
        <v>4634</v>
      </c>
      <c r="E801">
        <v>18817.95</v>
      </c>
    </row>
    <row r="802" spans="4:5" x14ac:dyDescent="0.35">
      <c r="D802">
        <v>4974</v>
      </c>
      <c r="E802">
        <v>18758.97</v>
      </c>
    </row>
    <row r="803" spans="4:5" x14ac:dyDescent="0.35">
      <c r="D803">
        <v>4601</v>
      </c>
      <c r="E803">
        <v>18713.62</v>
      </c>
    </row>
    <row r="804" spans="4:5" x14ac:dyDescent="0.35">
      <c r="D804">
        <v>4762</v>
      </c>
      <c r="E804">
        <v>18703.259999999998</v>
      </c>
    </row>
    <row r="805" spans="4:5" x14ac:dyDescent="0.35">
      <c r="D805">
        <v>4676</v>
      </c>
      <c r="E805">
        <v>18684.240000000002</v>
      </c>
    </row>
    <row r="806" spans="4:5" x14ac:dyDescent="0.35">
      <c r="D806">
        <v>4395</v>
      </c>
      <c r="E806">
        <v>18655.23</v>
      </c>
    </row>
    <row r="807" spans="4:5" x14ac:dyDescent="0.35">
      <c r="D807">
        <v>3747</v>
      </c>
      <c r="E807">
        <v>18650.77</v>
      </c>
    </row>
    <row r="808" spans="4:5" x14ac:dyDescent="0.35">
      <c r="D808">
        <v>4429</v>
      </c>
      <c r="E808">
        <v>18607.71</v>
      </c>
    </row>
    <row r="809" spans="4:5" x14ac:dyDescent="0.35">
      <c r="D809">
        <v>4887</v>
      </c>
      <c r="E809">
        <v>18589.25</v>
      </c>
    </row>
    <row r="810" spans="4:5" x14ac:dyDescent="0.35">
      <c r="D810">
        <v>4978</v>
      </c>
      <c r="E810">
        <v>18561.939999999999</v>
      </c>
    </row>
    <row r="811" spans="4:5" x14ac:dyDescent="0.35">
      <c r="D811">
        <v>4925</v>
      </c>
      <c r="E811">
        <v>18521.439999999999</v>
      </c>
    </row>
    <row r="812" spans="4:5" x14ac:dyDescent="0.35">
      <c r="D812">
        <v>4594</v>
      </c>
      <c r="E812">
        <v>18506.490000000002</v>
      </c>
    </row>
    <row r="813" spans="4:5" x14ac:dyDescent="0.35">
      <c r="D813">
        <v>4492</v>
      </c>
      <c r="E813">
        <v>18504.96</v>
      </c>
    </row>
    <row r="814" spans="4:5" x14ac:dyDescent="0.35">
      <c r="D814">
        <v>5004</v>
      </c>
      <c r="E814">
        <v>18479.849999999999</v>
      </c>
    </row>
    <row r="815" spans="4:5" x14ac:dyDescent="0.35">
      <c r="D815">
        <v>5054</v>
      </c>
      <c r="E815">
        <v>18457.259999999998</v>
      </c>
    </row>
    <row r="816" spans="4:5" x14ac:dyDescent="0.35">
      <c r="D816">
        <v>4013</v>
      </c>
      <c r="E816">
        <v>18424.86</v>
      </c>
    </row>
    <row r="817" spans="4:5" x14ac:dyDescent="0.35">
      <c r="D817">
        <v>4172</v>
      </c>
      <c r="E817">
        <v>18411.05</v>
      </c>
    </row>
    <row r="818" spans="4:5" x14ac:dyDescent="0.35">
      <c r="D818">
        <v>4480</v>
      </c>
      <c r="E818">
        <v>18365.07</v>
      </c>
    </row>
    <row r="819" spans="4:5" x14ac:dyDescent="0.35">
      <c r="D819">
        <v>4728</v>
      </c>
      <c r="E819">
        <v>18364.68</v>
      </c>
    </row>
    <row r="820" spans="4:5" x14ac:dyDescent="0.35">
      <c r="D820">
        <v>4828</v>
      </c>
      <c r="E820">
        <v>18328.62</v>
      </c>
    </row>
    <row r="821" spans="4:5" x14ac:dyDescent="0.35">
      <c r="D821">
        <v>4665</v>
      </c>
      <c r="E821">
        <v>18322.669999999998</v>
      </c>
    </row>
    <row r="822" spans="4:5" x14ac:dyDescent="0.35">
      <c r="D822">
        <v>4727</v>
      </c>
      <c r="E822">
        <v>18304.919999999998</v>
      </c>
    </row>
    <row r="823" spans="4:5" x14ac:dyDescent="0.35">
      <c r="D823">
        <v>3950</v>
      </c>
      <c r="E823">
        <v>18208.84</v>
      </c>
    </row>
    <row r="824" spans="4:5" x14ac:dyDescent="0.35">
      <c r="D824">
        <v>3717</v>
      </c>
      <c r="E824">
        <v>18188.79</v>
      </c>
    </row>
    <row r="825" spans="4:5" x14ac:dyDescent="0.35">
      <c r="D825">
        <v>4393</v>
      </c>
      <c r="E825">
        <v>18097.599999999999</v>
      </c>
    </row>
    <row r="826" spans="4:5" x14ac:dyDescent="0.35">
      <c r="D826">
        <v>3849</v>
      </c>
      <c r="E826">
        <v>18071.29</v>
      </c>
    </row>
    <row r="827" spans="4:5" x14ac:dyDescent="0.35">
      <c r="D827">
        <v>4772</v>
      </c>
      <c r="E827">
        <v>18046.05</v>
      </c>
    </row>
    <row r="828" spans="4:5" x14ac:dyDescent="0.35">
      <c r="D828">
        <v>4050</v>
      </c>
      <c r="E828">
        <v>17982.12</v>
      </c>
    </row>
    <row r="829" spans="4:5" x14ac:dyDescent="0.35">
      <c r="D829">
        <v>4904</v>
      </c>
      <c r="E829">
        <v>17954.849999999999</v>
      </c>
    </row>
    <row r="830" spans="4:5" x14ac:dyDescent="0.35">
      <c r="D830">
        <v>4434</v>
      </c>
      <c r="E830">
        <v>17938.18</v>
      </c>
    </row>
    <row r="831" spans="4:5" x14ac:dyDescent="0.35">
      <c r="D831">
        <v>4357</v>
      </c>
      <c r="E831">
        <v>17936.98</v>
      </c>
    </row>
    <row r="832" spans="4:5" x14ac:dyDescent="0.35">
      <c r="D832">
        <v>4736</v>
      </c>
      <c r="E832">
        <v>17836.89</v>
      </c>
    </row>
    <row r="833" spans="4:5" x14ac:dyDescent="0.35">
      <c r="D833">
        <v>5017</v>
      </c>
      <c r="E833">
        <v>17752.05</v>
      </c>
    </row>
    <row r="834" spans="4:5" x14ac:dyDescent="0.35">
      <c r="D834">
        <v>4133</v>
      </c>
      <c r="E834">
        <v>17670.080000000002</v>
      </c>
    </row>
    <row r="835" spans="4:5" x14ac:dyDescent="0.35">
      <c r="D835">
        <v>3611</v>
      </c>
      <c r="E835">
        <v>17668.080000000002</v>
      </c>
    </row>
    <row r="836" spans="4:5" x14ac:dyDescent="0.35">
      <c r="D836">
        <v>4821</v>
      </c>
      <c r="E836">
        <v>17645.939999999999</v>
      </c>
    </row>
    <row r="837" spans="4:5" x14ac:dyDescent="0.35">
      <c r="D837">
        <v>4715</v>
      </c>
      <c r="E837">
        <v>17550.18</v>
      </c>
    </row>
    <row r="838" spans="4:5" x14ac:dyDescent="0.35">
      <c r="D838">
        <v>3972</v>
      </c>
      <c r="E838">
        <v>17489.11</v>
      </c>
    </row>
    <row r="839" spans="4:5" x14ac:dyDescent="0.35">
      <c r="D839">
        <v>4438</v>
      </c>
      <c r="E839">
        <v>17477.57</v>
      </c>
    </row>
    <row r="840" spans="4:5" x14ac:dyDescent="0.35">
      <c r="D840">
        <v>4853</v>
      </c>
      <c r="E840">
        <v>17471.02</v>
      </c>
    </row>
    <row r="841" spans="4:5" x14ac:dyDescent="0.35">
      <c r="D841">
        <v>3964</v>
      </c>
      <c r="E841">
        <v>17442.93</v>
      </c>
    </row>
    <row r="842" spans="4:5" x14ac:dyDescent="0.35">
      <c r="D842">
        <v>3648</v>
      </c>
      <c r="E842">
        <v>17335.27</v>
      </c>
    </row>
    <row r="843" spans="4:5" x14ac:dyDescent="0.35">
      <c r="D843">
        <v>5005</v>
      </c>
      <c r="E843">
        <v>17208.099999999999</v>
      </c>
    </row>
    <row r="844" spans="4:5" x14ac:dyDescent="0.35">
      <c r="D844">
        <v>4893</v>
      </c>
      <c r="E844">
        <v>17192.759999999998</v>
      </c>
    </row>
    <row r="845" spans="4:5" x14ac:dyDescent="0.35">
      <c r="D845">
        <v>3614</v>
      </c>
      <c r="E845">
        <v>17044.36</v>
      </c>
    </row>
    <row r="846" spans="4:5" x14ac:dyDescent="0.35">
      <c r="D846">
        <v>4561</v>
      </c>
      <c r="E846">
        <v>17028</v>
      </c>
    </row>
    <row r="847" spans="4:5" x14ac:dyDescent="0.35">
      <c r="D847">
        <v>3635</v>
      </c>
      <c r="E847">
        <v>16985.169999999998</v>
      </c>
    </row>
    <row r="848" spans="4:5" x14ac:dyDescent="0.35">
      <c r="D848">
        <v>4537</v>
      </c>
      <c r="E848">
        <v>16937.009999999998</v>
      </c>
    </row>
    <row r="849" spans="4:5" x14ac:dyDescent="0.35">
      <c r="D849">
        <v>4771</v>
      </c>
      <c r="E849">
        <v>16849.349999999999</v>
      </c>
    </row>
    <row r="850" spans="4:5" x14ac:dyDescent="0.35">
      <c r="D850">
        <v>4920</v>
      </c>
      <c r="E850">
        <v>16848.21</v>
      </c>
    </row>
    <row r="851" spans="4:5" x14ac:dyDescent="0.35">
      <c r="D851">
        <v>4018</v>
      </c>
      <c r="E851">
        <v>16836.259999999998</v>
      </c>
    </row>
    <row r="852" spans="4:5" x14ac:dyDescent="0.35">
      <c r="D852">
        <v>4624</v>
      </c>
      <c r="E852">
        <v>16817.8</v>
      </c>
    </row>
    <row r="853" spans="4:5" x14ac:dyDescent="0.35">
      <c r="D853">
        <v>4709</v>
      </c>
      <c r="E853">
        <v>16789.02</v>
      </c>
    </row>
    <row r="854" spans="4:5" x14ac:dyDescent="0.35">
      <c r="D854">
        <v>4005</v>
      </c>
      <c r="E854">
        <v>16784.48</v>
      </c>
    </row>
    <row r="855" spans="4:5" x14ac:dyDescent="0.35">
      <c r="D855">
        <v>4267</v>
      </c>
      <c r="E855">
        <v>16705.87</v>
      </c>
    </row>
    <row r="856" spans="4:5" x14ac:dyDescent="0.35">
      <c r="D856">
        <v>3915</v>
      </c>
      <c r="E856">
        <v>16640.759999999998</v>
      </c>
    </row>
    <row r="857" spans="4:5" x14ac:dyDescent="0.35">
      <c r="D857">
        <v>4324</v>
      </c>
      <c r="E857">
        <v>16583.830000000002</v>
      </c>
    </row>
    <row r="858" spans="4:5" x14ac:dyDescent="0.35">
      <c r="D858">
        <v>4491</v>
      </c>
      <c r="E858">
        <v>16562.060000000001</v>
      </c>
    </row>
    <row r="859" spans="4:5" x14ac:dyDescent="0.35">
      <c r="D859">
        <v>2656</v>
      </c>
      <c r="E859">
        <v>16529.11</v>
      </c>
    </row>
    <row r="860" spans="4:5" x14ac:dyDescent="0.35">
      <c r="D860">
        <v>4799</v>
      </c>
      <c r="E860">
        <v>16522.080000000002</v>
      </c>
    </row>
    <row r="861" spans="4:5" x14ac:dyDescent="0.35">
      <c r="D861">
        <v>4387</v>
      </c>
      <c r="E861">
        <v>16332.95</v>
      </c>
    </row>
    <row r="862" spans="4:5" x14ac:dyDescent="0.35">
      <c r="D862">
        <v>4289</v>
      </c>
      <c r="E862">
        <v>16310.25</v>
      </c>
    </row>
    <row r="863" spans="4:5" x14ac:dyDescent="0.35">
      <c r="D863">
        <v>4193</v>
      </c>
      <c r="E863">
        <v>16227.09</v>
      </c>
    </row>
    <row r="864" spans="4:5" x14ac:dyDescent="0.35">
      <c r="D864">
        <v>4613</v>
      </c>
      <c r="E864">
        <v>16102.31</v>
      </c>
    </row>
    <row r="865" spans="4:5" x14ac:dyDescent="0.35">
      <c r="D865">
        <v>4295</v>
      </c>
      <c r="E865">
        <v>16019.78</v>
      </c>
    </row>
    <row r="866" spans="4:5" x14ac:dyDescent="0.35">
      <c r="D866">
        <v>4998</v>
      </c>
      <c r="E866">
        <v>15973.42</v>
      </c>
    </row>
    <row r="867" spans="4:5" x14ac:dyDescent="0.35">
      <c r="D867">
        <v>4927</v>
      </c>
      <c r="E867">
        <v>15931.58</v>
      </c>
    </row>
    <row r="868" spans="4:5" x14ac:dyDescent="0.35">
      <c r="D868">
        <v>3872</v>
      </c>
      <c r="E868">
        <v>15911.7</v>
      </c>
    </row>
    <row r="869" spans="4:5" x14ac:dyDescent="0.35">
      <c r="D869">
        <v>4551</v>
      </c>
      <c r="E869">
        <v>15843.18</v>
      </c>
    </row>
    <row r="870" spans="4:5" x14ac:dyDescent="0.35">
      <c r="D870">
        <v>4506</v>
      </c>
      <c r="E870">
        <v>15791.96</v>
      </c>
    </row>
    <row r="871" spans="4:5" x14ac:dyDescent="0.35">
      <c r="D871">
        <v>3901</v>
      </c>
      <c r="E871">
        <v>15742.32</v>
      </c>
    </row>
    <row r="872" spans="4:5" x14ac:dyDescent="0.35">
      <c r="D872">
        <v>4926</v>
      </c>
      <c r="E872">
        <v>15740.74</v>
      </c>
    </row>
    <row r="873" spans="4:5" x14ac:dyDescent="0.35">
      <c r="D873">
        <v>4740</v>
      </c>
      <c r="E873">
        <v>15658.92</v>
      </c>
    </row>
    <row r="874" spans="4:5" x14ac:dyDescent="0.35">
      <c r="D874">
        <v>4605</v>
      </c>
      <c r="E874">
        <v>15619.62</v>
      </c>
    </row>
    <row r="875" spans="4:5" x14ac:dyDescent="0.35">
      <c r="D875">
        <v>4488</v>
      </c>
      <c r="E875">
        <v>15540.34</v>
      </c>
    </row>
    <row r="876" spans="4:5" x14ac:dyDescent="0.35">
      <c r="D876">
        <v>4675</v>
      </c>
      <c r="E876">
        <v>15511.65</v>
      </c>
    </row>
    <row r="877" spans="4:5" x14ac:dyDescent="0.35">
      <c r="D877">
        <v>3779</v>
      </c>
      <c r="E877">
        <v>15495.53</v>
      </c>
    </row>
    <row r="878" spans="4:5" x14ac:dyDescent="0.35">
      <c r="D878">
        <v>4651</v>
      </c>
      <c r="E878">
        <v>15487.39</v>
      </c>
    </row>
    <row r="879" spans="4:5" x14ac:dyDescent="0.35">
      <c r="D879">
        <v>3761</v>
      </c>
      <c r="E879">
        <v>15485.72</v>
      </c>
    </row>
    <row r="880" spans="4:5" x14ac:dyDescent="0.35">
      <c r="D880">
        <v>2671</v>
      </c>
      <c r="E880">
        <v>15457.2</v>
      </c>
    </row>
    <row r="881" spans="4:5" x14ac:dyDescent="0.35">
      <c r="D881">
        <v>4767</v>
      </c>
      <c r="E881">
        <v>15437.05</v>
      </c>
    </row>
    <row r="882" spans="4:5" x14ac:dyDescent="0.35">
      <c r="D882">
        <v>4097</v>
      </c>
      <c r="E882">
        <v>15411.14</v>
      </c>
    </row>
    <row r="883" spans="4:5" x14ac:dyDescent="0.35">
      <c r="D883">
        <v>2658</v>
      </c>
      <c r="E883">
        <v>15357.06</v>
      </c>
    </row>
    <row r="884" spans="4:5" x14ac:dyDescent="0.35">
      <c r="D884">
        <v>4585</v>
      </c>
      <c r="E884">
        <v>15346.14</v>
      </c>
    </row>
    <row r="885" spans="4:5" x14ac:dyDescent="0.35">
      <c r="D885">
        <v>4787</v>
      </c>
      <c r="E885">
        <v>15342.07</v>
      </c>
    </row>
    <row r="886" spans="4:5" x14ac:dyDescent="0.35">
      <c r="D886">
        <v>4476</v>
      </c>
      <c r="E886">
        <v>15318.94</v>
      </c>
    </row>
    <row r="887" spans="4:5" x14ac:dyDescent="0.35">
      <c r="D887">
        <v>4712</v>
      </c>
      <c r="E887">
        <v>15303.29</v>
      </c>
    </row>
    <row r="888" spans="4:5" x14ac:dyDescent="0.35">
      <c r="D888">
        <v>3615</v>
      </c>
      <c r="E888">
        <v>15197.64</v>
      </c>
    </row>
    <row r="889" spans="4:5" x14ac:dyDescent="0.35">
      <c r="D889">
        <v>4628</v>
      </c>
      <c r="E889">
        <v>15158.74</v>
      </c>
    </row>
    <row r="890" spans="4:5" x14ac:dyDescent="0.35">
      <c r="D890">
        <v>4984</v>
      </c>
      <c r="E890">
        <v>15132.83</v>
      </c>
    </row>
    <row r="891" spans="4:5" x14ac:dyDescent="0.35">
      <c r="D891">
        <v>4445</v>
      </c>
      <c r="E891">
        <v>15132.22</v>
      </c>
    </row>
    <row r="892" spans="4:5" x14ac:dyDescent="0.35">
      <c r="D892">
        <v>4485</v>
      </c>
      <c r="E892">
        <v>15130.48</v>
      </c>
    </row>
    <row r="893" spans="4:5" x14ac:dyDescent="0.35">
      <c r="D893">
        <v>4415</v>
      </c>
      <c r="E893">
        <v>15059.21</v>
      </c>
    </row>
    <row r="894" spans="4:5" x14ac:dyDescent="0.35">
      <c r="D894">
        <v>4653</v>
      </c>
      <c r="E894">
        <v>14987.28</v>
      </c>
    </row>
    <row r="895" spans="4:5" x14ac:dyDescent="0.35">
      <c r="D895">
        <v>4403</v>
      </c>
      <c r="E895">
        <v>14978.29</v>
      </c>
    </row>
    <row r="896" spans="4:5" x14ac:dyDescent="0.35">
      <c r="D896">
        <v>4401</v>
      </c>
      <c r="E896">
        <v>14942.14</v>
      </c>
    </row>
    <row r="897" spans="4:5" x14ac:dyDescent="0.35">
      <c r="D897">
        <v>4388</v>
      </c>
      <c r="E897">
        <v>14926.4</v>
      </c>
    </row>
    <row r="898" spans="4:5" x14ac:dyDescent="0.35">
      <c r="D898">
        <v>4516</v>
      </c>
      <c r="E898">
        <v>14899.68</v>
      </c>
    </row>
    <row r="899" spans="4:5" x14ac:dyDescent="0.35">
      <c r="D899">
        <v>4586</v>
      </c>
      <c r="E899">
        <v>14891.85</v>
      </c>
    </row>
    <row r="900" spans="4:5" x14ac:dyDescent="0.35">
      <c r="D900">
        <v>4663</v>
      </c>
      <c r="E900">
        <v>14876.64</v>
      </c>
    </row>
    <row r="901" spans="4:5" x14ac:dyDescent="0.35">
      <c r="D901">
        <v>5008</v>
      </c>
      <c r="E901">
        <v>14804.13</v>
      </c>
    </row>
    <row r="902" spans="4:5" x14ac:dyDescent="0.35">
      <c r="D902">
        <v>3803</v>
      </c>
      <c r="E902">
        <v>14767.98</v>
      </c>
    </row>
    <row r="903" spans="4:5" x14ac:dyDescent="0.35">
      <c r="D903">
        <v>4494</v>
      </c>
      <c r="E903">
        <v>14736.42</v>
      </c>
    </row>
    <row r="904" spans="4:5" x14ac:dyDescent="0.35">
      <c r="D904">
        <v>5063</v>
      </c>
      <c r="E904">
        <v>14726.07</v>
      </c>
    </row>
    <row r="905" spans="4:5" x14ac:dyDescent="0.35">
      <c r="D905">
        <v>2847</v>
      </c>
      <c r="E905">
        <v>14695.55</v>
      </c>
    </row>
    <row r="906" spans="4:5" x14ac:dyDescent="0.35">
      <c r="D906">
        <v>4921</v>
      </c>
      <c r="E906">
        <v>14687.49</v>
      </c>
    </row>
    <row r="907" spans="4:5" x14ac:dyDescent="0.35">
      <c r="D907">
        <v>4820</v>
      </c>
      <c r="E907">
        <v>14678.71</v>
      </c>
    </row>
    <row r="908" spans="4:5" x14ac:dyDescent="0.35">
      <c r="D908">
        <v>4353</v>
      </c>
      <c r="E908">
        <v>14668.47</v>
      </c>
    </row>
    <row r="909" spans="4:5" x14ac:dyDescent="0.35">
      <c r="D909">
        <v>4912</v>
      </c>
      <c r="E909">
        <v>14627.59</v>
      </c>
    </row>
    <row r="910" spans="4:5" x14ac:dyDescent="0.35">
      <c r="D910">
        <v>4514</v>
      </c>
      <c r="E910">
        <v>14619.78</v>
      </c>
    </row>
    <row r="911" spans="4:5" x14ac:dyDescent="0.35">
      <c r="D911">
        <v>4704</v>
      </c>
      <c r="E911">
        <v>14549.51</v>
      </c>
    </row>
    <row r="912" spans="4:5" x14ac:dyDescent="0.35">
      <c r="D912">
        <v>4530</v>
      </c>
      <c r="E912">
        <v>14508.06</v>
      </c>
    </row>
    <row r="913" spans="4:5" x14ac:dyDescent="0.35">
      <c r="D913">
        <v>2659</v>
      </c>
      <c r="E913">
        <v>14501.86</v>
      </c>
    </row>
    <row r="914" spans="4:5" x14ac:dyDescent="0.35">
      <c r="D914">
        <v>4710</v>
      </c>
      <c r="E914">
        <v>14485.06</v>
      </c>
    </row>
    <row r="915" spans="4:5" x14ac:dyDescent="0.35">
      <c r="D915">
        <v>4358</v>
      </c>
      <c r="E915">
        <v>14462.33</v>
      </c>
    </row>
    <row r="916" spans="4:5" x14ac:dyDescent="0.35">
      <c r="D916">
        <v>4298</v>
      </c>
      <c r="E916">
        <v>14440.92</v>
      </c>
    </row>
    <row r="917" spans="4:5" x14ac:dyDescent="0.35">
      <c r="D917">
        <v>5007</v>
      </c>
      <c r="E917">
        <v>14435.17</v>
      </c>
    </row>
    <row r="918" spans="4:5" x14ac:dyDescent="0.35">
      <c r="D918">
        <v>4730</v>
      </c>
      <c r="E918">
        <v>14405.94</v>
      </c>
    </row>
    <row r="919" spans="4:5" x14ac:dyDescent="0.35">
      <c r="D919">
        <v>4975</v>
      </c>
      <c r="E919">
        <v>14359.85</v>
      </c>
    </row>
    <row r="920" spans="4:5" x14ac:dyDescent="0.35">
      <c r="D920">
        <v>4626</v>
      </c>
      <c r="E920">
        <v>14353.17</v>
      </c>
    </row>
    <row r="921" spans="4:5" x14ac:dyDescent="0.35">
      <c r="D921">
        <v>4008</v>
      </c>
      <c r="E921">
        <v>14315.4</v>
      </c>
    </row>
    <row r="922" spans="4:5" x14ac:dyDescent="0.35">
      <c r="D922">
        <v>4972</v>
      </c>
      <c r="E922">
        <v>14307.36</v>
      </c>
    </row>
    <row r="923" spans="4:5" x14ac:dyDescent="0.35">
      <c r="D923">
        <v>4351</v>
      </c>
      <c r="E923">
        <v>14246.45</v>
      </c>
    </row>
    <row r="924" spans="4:5" x14ac:dyDescent="0.35">
      <c r="D924">
        <v>4603</v>
      </c>
      <c r="E924">
        <v>14076.77</v>
      </c>
    </row>
    <row r="925" spans="4:5" x14ac:dyDescent="0.35">
      <c r="D925">
        <v>4519</v>
      </c>
      <c r="E925">
        <v>14059.04</v>
      </c>
    </row>
    <row r="926" spans="4:5" x14ac:dyDescent="0.35">
      <c r="D926">
        <v>4848</v>
      </c>
      <c r="E926">
        <v>14051.14</v>
      </c>
    </row>
    <row r="927" spans="4:5" x14ac:dyDescent="0.35">
      <c r="D927">
        <v>4472</v>
      </c>
      <c r="E927">
        <v>14048.64</v>
      </c>
    </row>
    <row r="928" spans="4:5" x14ac:dyDescent="0.35">
      <c r="D928">
        <v>4785</v>
      </c>
      <c r="E928">
        <v>14037.84</v>
      </c>
    </row>
    <row r="929" spans="4:5" x14ac:dyDescent="0.35">
      <c r="D929">
        <v>4170</v>
      </c>
      <c r="E929">
        <v>13996.79</v>
      </c>
    </row>
    <row r="930" spans="4:5" x14ac:dyDescent="0.35">
      <c r="D930">
        <v>4888</v>
      </c>
      <c r="E930">
        <v>13889.98</v>
      </c>
    </row>
    <row r="931" spans="4:5" x14ac:dyDescent="0.35">
      <c r="D931">
        <v>4549</v>
      </c>
      <c r="E931">
        <v>13879.8</v>
      </c>
    </row>
    <row r="932" spans="4:5" x14ac:dyDescent="0.35">
      <c r="D932">
        <v>4326</v>
      </c>
      <c r="E932">
        <v>13868.2</v>
      </c>
    </row>
    <row r="933" spans="4:5" x14ac:dyDescent="0.35">
      <c r="D933">
        <v>4417</v>
      </c>
      <c r="E933">
        <v>13860.3</v>
      </c>
    </row>
    <row r="934" spans="4:5" x14ac:dyDescent="0.35">
      <c r="D934">
        <v>4919</v>
      </c>
      <c r="E934">
        <v>13826.76</v>
      </c>
    </row>
    <row r="935" spans="4:5" x14ac:dyDescent="0.35">
      <c r="D935">
        <v>4188</v>
      </c>
      <c r="E935">
        <v>13825.32</v>
      </c>
    </row>
    <row r="936" spans="4:5" x14ac:dyDescent="0.35">
      <c r="D936">
        <v>4636</v>
      </c>
      <c r="E936">
        <v>13744.97</v>
      </c>
    </row>
    <row r="937" spans="4:5" x14ac:dyDescent="0.35">
      <c r="D937">
        <v>4536</v>
      </c>
      <c r="E937">
        <v>13717.62</v>
      </c>
    </row>
    <row r="938" spans="4:5" x14ac:dyDescent="0.35">
      <c r="D938">
        <v>4462</v>
      </c>
      <c r="E938">
        <v>13689.94</v>
      </c>
    </row>
    <row r="939" spans="4:5" x14ac:dyDescent="0.35">
      <c r="D939">
        <v>4650</v>
      </c>
      <c r="E939">
        <v>13633.95</v>
      </c>
    </row>
    <row r="940" spans="4:5" x14ac:dyDescent="0.35">
      <c r="D940">
        <v>4699</v>
      </c>
      <c r="E940">
        <v>13561.97</v>
      </c>
    </row>
    <row r="941" spans="4:5" x14ac:dyDescent="0.35">
      <c r="D941">
        <v>4430</v>
      </c>
      <c r="E941">
        <v>13559.14</v>
      </c>
    </row>
    <row r="942" spans="4:5" x14ac:dyDescent="0.35">
      <c r="D942">
        <v>4533</v>
      </c>
      <c r="E942">
        <v>13533.96</v>
      </c>
    </row>
    <row r="943" spans="4:5" x14ac:dyDescent="0.35">
      <c r="D943">
        <v>4016</v>
      </c>
      <c r="E943">
        <v>13516.79</v>
      </c>
    </row>
    <row r="944" spans="4:5" x14ac:dyDescent="0.35">
      <c r="D944">
        <v>4658</v>
      </c>
      <c r="E944">
        <v>13515.94</v>
      </c>
    </row>
    <row r="945" spans="4:5" x14ac:dyDescent="0.35">
      <c r="D945">
        <v>4543</v>
      </c>
      <c r="E945">
        <v>13502.94</v>
      </c>
    </row>
    <row r="946" spans="4:5" x14ac:dyDescent="0.35">
      <c r="D946">
        <v>3891</v>
      </c>
      <c r="E946">
        <v>13455.78</v>
      </c>
    </row>
    <row r="947" spans="4:5" x14ac:dyDescent="0.35">
      <c r="D947">
        <v>4424</v>
      </c>
      <c r="E947">
        <v>13452.47</v>
      </c>
    </row>
    <row r="948" spans="4:5" x14ac:dyDescent="0.35">
      <c r="D948">
        <v>4448</v>
      </c>
      <c r="E948">
        <v>13436.43</v>
      </c>
    </row>
    <row r="949" spans="4:5" x14ac:dyDescent="0.35">
      <c r="D949">
        <v>4510</v>
      </c>
      <c r="E949">
        <v>13427.4</v>
      </c>
    </row>
    <row r="950" spans="4:5" x14ac:dyDescent="0.35">
      <c r="D950">
        <v>4873</v>
      </c>
      <c r="E950">
        <v>13423.13</v>
      </c>
    </row>
    <row r="951" spans="4:5" x14ac:dyDescent="0.35">
      <c r="D951">
        <v>4745</v>
      </c>
      <c r="E951">
        <v>13415.58</v>
      </c>
    </row>
    <row r="952" spans="4:5" x14ac:dyDescent="0.35">
      <c r="D952">
        <v>4518</v>
      </c>
      <c r="E952">
        <v>13325.46</v>
      </c>
    </row>
    <row r="953" spans="4:5" x14ac:dyDescent="0.35">
      <c r="D953">
        <v>4487</v>
      </c>
      <c r="E953">
        <v>13296.36</v>
      </c>
    </row>
    <row r="954" spans="4:5" x14ac:dyDescent="0.35">
      <c r="D954">
        <v>4722</v>
      </c>
      <c r="E954">
        <v>13264.14</v>
      </c>
    </row>
    <row r="955" spans="4:5" x14ac:dyDescent="0.35">
      <c r="D955">
        <v>4796</v>
      </c>
      <c r="E955">
        <v>13262.16</v>
      </c>
    </row>
    <row r="956" spans="4:5" x14ac:dyDescent="0.35">
      <c r="D956">
        <v>4788</v>
      </c>
      <c r="E956">
        <v>13248.12</v>
      </c>
    </row>
    <row r="957" spans="4:5" x14ac:dyDescent="0.35">
      <c r="D957">
        <v>4735</v>
      </c>
      <c r="E957">
        <v>13207.74</v>
      </c>
    </row>
    <row r="958" spans="4:5" x14ac:dyDescent="0.35">
      <c r="D958">
        <v>4589</v>
      </c>
      <c r="E958">
        <v>13188.55</v>
      </c>
    </row>
    <row r="959" spans="4:5" x14ac:dyDescent="0.35">
      <c r="D959">
        <v>5010</v>
      </c>
      <c r="E959">
        <v>13174.89</v>
      </c>
    </row>
    <row r="960" spans="4:5" x14ac:dyDescent="0.35">
      <c r="D960">
        <v>5077</v>
      </c>
      <c r="E960">
        <v>13115.28</v>
      </c>
    </row>
    <row r="961" spans="4:5" x14ac:dyDescent="0.35">
      <c r="D961">
        <v>4905</v>
      </c>
      <c r="E961">
        <v>12999.43</v>
      </c>
    </row>
    <row r="962" spans="4:5" x14ac:dyDescent="0.35">
      <c r="D962">
        <v>4928</v>
      </c>
      <c r="E962">
        <v>12943.7</v>
      </c>
    </row>
    <row r="963" spans="4:5" x14ac:dyDescent="0.35">
      <c r="D963">
        <v>5030</v>
      </c>
      <c r="E963">
        <v>12940.91</v>
      </c>
    </row>
    <row r="964" spans="4:5" x14ac:dyDescent="0.35">
      <c r="D964">
        <v>4090</v>
      </c>
      <c r="E964">
        <v>12905.58</v>
      </c>
    </row>
    <row r="965" spans="4:5" x14ac:dyDescent="0.35">
      <c r="D965">
        <v>4315</v>
      </c>
      <c r="E965">
        <v>12862.61</v>
      </c>
    </row>
    <row r="966" spans="4:5" x14ac:dyDescent="0.35">
      <c r="D966">
        <v>3676</v>
      </c>
      <c r="E966">
        <v>12851.43</v>
      </c>
    </row>
    <row r="967" spans="4:5" x14ac:dyDescent="0.35">
      <c r="D967">
        <v>3930</v>
      </c>
      <c r="E967">
        <v>12834.3</v>
      </c>
    </row>
    <row r="968" spans="4:5" x14ac:dyDescent="0.35">
      <c r="D968">
        <v>2657</v>
      </c>
      <c r="E968">
        <v>12806.98</v>
      </c>
    </row>
    <row r="969" spans="4:5" x14ac:dyDescent="0.35">
      <c r="D969">
        <v>5032</v>
      </c>
      <c r="E969">
        <v>12755.94</v>
      </c>
    </row>
    <row r="970" spans="4:5" x14ac:dyDescent="0.35">
      <c r="D970">
        <v>4000</v>
      </c>
      <c r="E970">
        <v>12637.27</v>
      </c>
    </row>
    <row r="971" spans="4:5" x14ac:dyDescent="0.35">
      <c r="D971">
        <v>4493</v>
      </c>
      <c r="E971">
        <v>12574.76</v>
      </c>
    </row>
    <row r="972" spans="4:5" x14ac:dyDescent="0.35">
      <c r="D972">
        <v>4724</v>
      </c>
      <c r="E972">
        <v>12538.38</v>
      </c>
    </row>
    <row r="973" spans="4:5" x14ac:dyDescent="0.35">
      <c r="D973">
        <v>4655</v>
      </c>
      <c r="E973">
        <v>12536.16</v>
      </c>
    </row>
    <row r="974" spans="4:5" x14ac:dyDescent="0.35">
      <c r="D974">
        <v>2851</v>
      </c>
      <c r="E974">
        <v>12495.8</v>
      </c>
    </row>
    <row r="975" spans="4:5" x14ac:dyDescent="0.35">
      <c r="D975">
        <v>4386</v>
      </c>
      <c r="E975">
        <v>12495.41</v>
      </c>
    </row>
    <row r="976" spans="4:5" x14ac:dyDescent="0.35">
      <c r="D976">
        <v>4577</v>
      </c>
      <c r="E976">
        <v>12488.49</v>
      </c>
    </row>
    <row r="977" spans="4:5" x14ac:dyDescent="0.35">
      <c r="D977">
        <v>4667</v>
      </c>
      <c r="E977">
        <v>12483</v>
      </c>
    </row>
    <row r="978" spans="4:5" x14ac:dyDescent="0.35">
      <c r="D978">
        <v>4911</v>
      </c>
      <c r="E978">
        <v>12356.21</v>
      </c>
    </row>
    <row r="979" spans="4:5" x14ac:dyDescent="0.35">
      <c r="D979">
        <v>4356</v>
      </c>
      <c r="E979">
        <v>12319.68</v>
      </c>
    </row>
    <row r="980" spans="4:5" x14ac:dyDescent="0.35">
      <c r="D980">
        <v>4852</v>
      </c>
      <c r="E980">
        <v>12310.05</v>
      </c>
    </row>
    <row r="981" spans="4:5" x14ac:dyDescent="0.35">
      <c r="D981">
        <v>4584</v>
      </c>
      <c r="E981">
        <v>12285.76</v>
      </c>
    </row>
    <row r="982" spans="4:5" x14ac:dyDescent="0.35">
      <c r="D982">
        <v>4884</v>
      </c>
      <c r="E982">
        <v>12241.71</v>
      </c>
    </row>
    <row r="983" spans="4:5" x14ac:dyDescent="0.35">
      <c r="D983">
        <v>4748</v>
      </c>
      <c r="E983">
        <v>12237.76</v>
      </c>
    </row>
    <row r="984" spans="4:5" x14ac:dyDescent="0.35">
      <c r="D984">
        <v>4274</v>
      </c>
      <c r="E984">
        <v>12158.26</v>
      </c>
    </row>
    <row r="985" spans="4:5" x14ac:dyDescent="0.35">
      <c r="D985">
        <v>4225</v>
      </c>
      <c r="E985">
        <v>12117.87</v>
      </c>
    </row>
    <row r="986" spans="4:5" x14ac:dyDescent="0.35">
      <c r="D986">
        <v>4553</v>
      </c>
      <c r="E986">
        <v>12086.92</v>
      </c>
    </row>
    <row r="987" spans="4:5" x14ac:dyDescent="0.35">
      <c r="D987">
        <v>4688</v>
      </c>
      <c r="E987">
        <v>12083.82</v>
      </c>
    </row>
    <row r="988" spans="4:5" x14ac:dyDescent="0.35">
      <c r="D988">
        <v>4378</v>
      </c>
      <c r="E988">
        <v>12081.27</v>
      </c>
    </row>
    <row r="989" spans="4:5" x14ac:dyDescent="0.35">
      <c r="D989">
        <v>4749</v>
      </c>
      <c r="E989">
        <v>12078.68</v>
      </c>
    </row>
    <row r="990" spans="4:5" x14ac:dyDescent="0.35">
      <c r="D990">
        <v>4420</v>
      </c>
      <c r="E990">
        <v>12077.94</v>
      </c>
    </row>
    <row r="991" spans="4:5" x14ac:dyDescent="0.35">
      <c r="D991">
        <v>4232</v>
      </c>
      <c r="E991">
        <v>12060.87</v>
      </c>
    </row>
    <row r="992" spans="4:5" x14ac:dyDescent="0.35">
      <c r="D992">
        <v>4525</v>
      </c>
      <c r="E992">
        <v>12043.52</v>
      </c>
    </row>
    <row r="993" spans="4:5" x14ac:dyDescent="0.35">
      <c r="D993">
        <v>4717</v>
      </c>
      <c r="E993">
        <v>11978.91</v>
      </c>
    </row>
    <row r="994" spans="4:5" x14ac:dyDescent="0.35">
      <c r="D994">
        <v>4885</v>
      </c>
      <c r="E994">
        <v>11835.92</v>
      </c>
    </row>
    <row r="995" spans="4:5" x14ac:dyDescent="0.35">
      <c r="D995">
        <v>4455</v>
      </c>
      <c r="E995">
        <v>11806.01</v>
      </c>
    </row>
    <row r="996" spans="4:5" x14ac:dyDescent="0.35">
      <c r="D996">
        <v>4367</v>
      </c>
      <c r="E996">
        <v>11790.11</v>
      </c>
    </row>
    <row r="997" spans="4:5" x14ac:dyDescent="0.35">
      <c r="D997">
        <v>4556</v>
      </c>
      <c r="E997">
        <v>11776.98</v>
      </c>
    </row>
    <row r="998" spans="4:5" x14ac:dyDescent="0.35">
      <c r="D998">
        <v>4365</v>
      </c>
      <c r="E998">
        <v>11731.18</v>
      </c>
    </row>
    <row r="999" spans="4:5" x14ac:dyDescent="0.35">
      <c r="D999">
        <v>4854</v>
      </c>
      <c r="E999">
        <v>11724.84</v>
      </c>
    </row>
    <row r="1000" spans="4:5" x14ac:dyDescent="0.35">
      <c r="D1000">
        <v>4139</v>
      </c>
      <c r="E1000">
        <v>11724.24</v>
      </c>
    </row>
    <row r="1001" spans="4:5" x14ac:dyDescent="0.35">
      <c r="D1001">
        <v>4030</v>
      </c>
      <c r="E1001">
        <v>11688.24</v>
      </c>
    </row>
    <row r="1002" spans="4:5" x14ac:dyDescent="0.35">
      <c r="D1002">
        <v>4512</v>
      </c>
      <c r="E1002">
        <v>11616.66</v>
      </c>
    </row>
    <row r="1003" spans="4:5" x14ac:dyDescent="0.35">
      <c r="D1003">
        <v>4562</v>
      </c>
      <c r="E1003">
        <v>11606.1</v>
      </c>
    </row>
    <row r="1004" spans="4:5" x14ac:dyDescent="0.35">
      <c r="D1004">
        <v>4552</v>
      </c>
      <c r="E1004">
        <v>11598.16</v>
      </c>
    </row>
    <row r="1005" spans="4:5" x14ac:dyDescent="0.35">
      <c r="D1005">
        <v>2849</v>
      </c>
      <c r="E1005">
        <v>11583.08</v>
      </c>
    </row>
    <row r="1006" spans="4:5" x14ac:dyDescent="0.35">
      <c r="D1006">
        <v>4372</v>
      </c>
      <c r="E1006">
        <v>11556.34</v>
      </c>
    </row>
    <row r="1007" spans="4:5" x14ac:dyDescent="0.35">
      <c r="D1007">
        <v>4489</v>
      </c>
      <c r="E1007">
        <v>11554.3</v>
      </c>
    </row>
    <row r="1008" spans="4:5" x14ac:dyDescent="0.35">
      <c r="D1008">
        <v>4071</v>
      </c>
      <c r="E1008">
        <v>11551.95</v>
      </c>
    </row>
    <row r="1009" spans="4:5" x14ac:dyDescent="0.35">
      <c r="D1009">
        <v>4695</v>
      </c>
      <c r="E1009">
        <v>11491.98</v>
      </c>
    </row>
    <row r="1010" spans="4:5" x14ac:dyDescent="0.35">
      <c r="D1010">
        <v>4775</v>
      </c>
      <c r="E1010">
        <v>11464.32</v>
      </c>
    </row>
    <row r="1011" spans="4:5" x14ac:dyDescent="0.35">
      <c r="D1011">
        <v>3606</v>
      </c>
      <c r="E1011">
        <v>11449.1</v>
      </c>
    </row>
    <row r="1012" spans="4:5" x14ac:dyDescent="0.35">
      <c r="D1012">
        <v>4397</v>
      </c>
      <c r="E1012">
        <v>11441.66</v>
      </c>
    </row>
    <row r="1013" spans="4:5" x14ac:dyDescent="0.35">
      <c r="D1013">
        <v>4535</v>
      </c>
      <c r="E1013">
        <v>11435.61</v>
      </c>
    </row>
    <row r="1014" spans="4:5" x14ac:dyDescent="0.35">
      <c r="D1014">
        <v>2836</v>
      </c>
      <c r="E1014">
        <v>11409.95</v>
      </c>
    </row>
    <row r="1015" spans="4:5" x14ac:dyDescent="0.35">
      <c r="D1015">
        <v>4431</v>
      </c>
      <c r="E1015">
        <v>11349.76</v>
      </c>
    </row>
    <row r="1016" spans="4:5" x14ac:dyDescent="0.35">
      <c r="D1016">
        <v>4034</v>
      </c>
      <c r="E1016">
        <v>11298.48</v>
      </c>
    </row>
    <row r="1017" spans="4:5" x14ac:dyDescent="0.35">
      <c r="D1017">
        <v>4645</v>
      </c>
      <c r="E1017">
        <v>11257.25</v>
      </c>
    </row>
    <row r="1018" spans="4:5" x14ac:dyDescent="0.35">
      <c r="D1018">
        <v>4692</v>
      </c>
      <c r="E1018">
        <v>11199.66</v>
      </c>
    </row>
    <row r="1019" spans="4:5" x14ac:dyDescent="0.35">
      <c r="D1019">
        <v>4143</v>
      </c>
      <c r="E1019">
        <v>11147.94</v>
      </c>
    </row>
    <row r="1020" spans="4:5" x14ac:dyDescent="0.35">
      <c r="D1020">
        <v>4408</v>
      </c>
      <c r="E1020">
        <v>11123.46</v>
      </c>
    </row>
    <row r="1021" spans="4:5" x14ac:dyDescent="0.35">
      <c r="D1021">
        <v>4899</v>
      </c>
      <c r="E1021">
        <v>10997.08</v>
      </c>
    </row>
    <row r="1022" spans="4:5" x14ac:dyDescent="0.35">
      <c r="D1022">
        <v>4738</v>
      </c>
      <c r="E1022">
        <v>10947.33</v>
      </c>
    </row>
    <row r="1023" spans="4:5" x14ac:dyDescent="0.35">
      <c r="D1023">
        <v>3976</v>
      </c>
      <c r="E1023">
        <v>10894.02</v>
      </c>
    </row>
    <row r="1024" spans="4:5" x14ac:dyDescent="0.35">
      <c r="D1024">
        <v>4364</v>
      </c>
      <c r="E1024">
        <v>10820.13</v>
      </c>
    </row>
    <row r="1025" spans="4:5" x14ac:dyDescent="0.35">
      <c r="D1025">
        <v>4995</v>
      </c>
      <c r="E1025">
        <v>10813.99</v>
      </c>
    </row>
    <row r="1026" spans="4:5" x14ac:dyDescent="0.35">
      <c r="D1026">
        <v>5022</v>
      </c>
      <c r="E1026">
        <v>10802.65</v>
      </c>
    </row>
    <row r="1027" spans="4:5" x14ac:dyDescent="0.35">
      <c r="D1027">
        <v>4130</v>
      </c>
      <c r="E1027">
        <v>10800.6</v>
      </c>
    </row>
    <row r="1028" spans="4:5" x14ac:dyDescent="0.35">
      <c r="D1028">
        <v>4524</v>
      </c>
      <c r="E1028">
        <v>10777</v>
      </c>
    </row>
    <row r="1029" spans="4:5" x14ac:dyDescent="0.35">
      <c r="D1029">
        <v>4883</v>
      </c>
      <c r="E1029">
        <v>10776.12</v>
      </c>
    </row>
    <row r="1030" spans="4:5" x14ac:dyDescent="0.35">
      <c r="D1030">
        <v>4635</v>
      </c>
      <c r="E1030">
        <v>10622.88</v>
      </c>
    </row>
    <row r="1031" spans="4:5" x14ac:dyDescent="0.35">
      <c r="D1031">
        <v>5051</v>
      </c>
      <c r="E1031">
        <v>10612.64</v>
      </c>
    </row>
    <row r="1032" spans="4:5" x14ac:dyDescent="0.35">
      <c r="D1032">
        <v>4396</v>
      </c>
      <c r="E1032">
        <v>10580.7</v>
      </c>
    </row>
    <row r="1033" spans="4:5" x14ac:dyDescent="0.35">
      <c r="D1033">
        <v>4381</v>
      </c>
      <c r="E1033">
        <v>10576.76</v>
      </c>
    </row>
    <row r="1034" spans="4:5" x14ac:dyDescent="0.35">
      <c r="D1034">
        <v>4590</v>
      </c>
      <c r="E1034">
        <v>10557.42</v>
      </c>
    </row>
    <row r="1035" spans="4:5" x14ac:dyDescent="0.35">
      <c r="D1035">
        <v>4042</v>
      </c>
      <c r="E1035">
        <v>10501.62</v>
      </c>
    </row>
    <row r="1036" spans="4:5" x14ac:dyDescent="0.35">
      <c r="D1036">
        <v>4443</v>
      </c>
      <c r="E1036">
        <v>10500.78</v>
      </c>
    </row>
    <row r="1037" spans="4:5" x14ac:dyDescent="0.35">
      <c r="D1037">
        <v>4625</v>
      </c>
      <c r="E1037">
        <v>10464.219999999999</v>
      </c>
    </row>
    <row r="1038" spans="4:5" x14ac:dyDescent="0.35">
      <c r="D1038">
        <v>4249</v>
      </c>
      <c r="E1038">
        <v>10447.469999999999</v>
      </c>
    </row>
    <row r="1039" spans="4:5" x14ac:dyDescent="0.35">
      <c r="D1039">
        <v>4777</v>
      </c>
      <c r="E1039">
        <v>10446.34</v>
      </c>
    </row>
    <row r="1040" spans="4:5" x14ac:dyDescent="0.35">
      <c r="D1040">
        <v>4508</v>
      </c>
      <c r="E1040">
        <v>10444.24</v>
      </c>
    </row>
    <row r="1041" spans="4:5" x14ac:dyDescent="0.35">
      <c r="D1041">
        <v>4322</v>
      </c>
      <c r="E1041">
        <v>10398.629999999999</v>
      </c>
    </row>
    <row r="1042" spans="4:5" x14ac:dyDescent="0.35">
      <c r="D1042">
        <v>4765</v>
      </c>
      <c r="E1042">
        <v>10395.209999999999</v>
      </c>
    </row>
    <row r="1043" spans="4:5" x14ac:dyDescent="0.35">
      <c r="D1043">
        <v>4293</v>
      </c>
      <c r="E1043">
        <v>10375.76</v>
      </c>
    </row>
    <row r="1044" spans="4:5" x14ac:dyDescent="0.35">
      <c r="D1044">
        <v>4987</v>
      </c>
      <c r="E1044">
        <v>10371.700000000001</v>
      </c>
    </row>
    <row r="1045" spans="4:5" x14ac:dyDescent="0.35">
      <c r="D1045">
        <v>4527</v>
      </c>
      <c r="E1045">
        <v>10325.82</v>
      </c>
    </row>
    <row r="1046" spans="4:5" x14ac:dyDescent="0.35">
      <c r="D1046">
        <v>4279</v>
      </c>
      <c r="E1046">
        <v>10315.35</v>
      </c>
    </row>
    <row r="1047" spans="4:5" x14ac:dyDescent="0.35">
      <c r="D1047">
        <v>4620</v>
      </c>
      <c r="E1047">
        <v>10300.86</v>
      </c>
    </row>
    <row r="1048" spans="4:5" x14ac:dyDescent="0.35">
      <c r="D1048">
        <v>4116</v>
      </c>
      <c r="E1048">
        <v>10192.35</v>
      </c>
    </row>
    <row r="1049" spans="4:5" x14ac:dyDescent="0.35">
      <c r="D1049">
        <v>4470</v>
      </c>
      <c r="E1049">
        <v>10188.75</v>
      </c>
    </row>
    <row r="1050" spans="4:5" x14ac:dyDescent="0.35">
      <c r="D1050">
        <v>4246</v>
      </c>
      <c r="E1050">
        <v>10186.32</v>
      </c>
    </row>
    <row r="1051" spans="4:5" x14ac:dyDescent="0.35">
      <c r="D1051">
        <v>4173</v>
      </c>
      <c r="E1051">
        <v>10143.23</v>
      </c>
    </row>
    <row r="1052" spans="4:5" x14ac:dyDescent="0.35">
      <c r="D1052">
        <v>4418</v>
      </c>
      <c r="E1052">
        <v>10138.4</v>
      </c>
    </row>
    <row r="1053" spans="4:5" x14ac:dyDescent="0.35">
      <c r="D1053">
        <v>3791</v>
      </c>
      <c r="E1053">
        <v>10078.19</v>
      </c>
    </row>
    <row r="1054" spans="4:5" x14ac:dyDescent="0.35">
      <c r="D1054">
        <v>4934</v>
      </c>
      <c r="E1054">
        <v>9990.0400000000009</v>
      </c>
    </row>
    <row r="1055" spans="4:5" x14ac:dyDescent="0.35">
      <c r="D1055">
        <v>5042</v>
      </c>
      <c r="E1055">
        <v>9981.7000000000007</v>
      </c>
    </row>
    <row r="1056" spans="4:5" x14ac:dyDescent="0.35">
      <c r="D1056">
        <v>4711</v>
      </c>
      <c r="E1056">
        <v>9949.44</v>
      </c>
    </row>
    <row r="1057" spans="4:5" x14ac:dyDescent="0.35">
      <c r="D1057">
        <v>4780</v>
      </c>
      <c r="E1057">
        <v>9924.76</v>
      </c>
    </row>
    <row r="1058" spans="4:5" x14ac:dyDescent="0.35">
      <c r="D1058">
        <v>4522</v>
      </c>
      <c r="E1058">
        <v>9906.49</v>
      </c>
    </row>
    <row r="1059" spans="4:5" x14ac:dyDescent="0.35">
      <c r="D1059">
        <v>4458</v>
      </c>
      <c r="E1059">
        <v>9872.2900000000009</v>
      </c>
    </row>
    <row r="1060" spans="4:5" x14ac:dyDescent="0.35">
      <c r="D1060">
        <v>4721</v>
      </c>
      <c r="E1060">
        <v>9865.98</v>
      </c>
    </row>
    <row r="1061" spans="4:5" x14ac:dyDescent="0.35">
      <c r="D1061">
        <v>4421</v>
      </c>
      <c r="E1061">
        <v>9855.99</v>
      </c>
    </row>
    <row r="1062" spans="4:5" x14ac:dyDescent="0.35">
      <c r="D1062">
        <v>4505</v>
      </c>
      <c r="E1062">
        <v>9841.56</v>
      </c>
    </row>
    <row r="1063" spans="4:5" x14ac:dyDescent="0.35">
      <c r="D1063">
        <v>4477</v>
      </c>
      <c r="E1063">
        <v>9766.9500000000007</v>
      </c>
    </row>
    <row r="1064" spans="4:5" x14ac:dyDescent="0.35">
      <c r="D1064">
        <v>4823</v>
      </c>
      <c r="E1064">
        <v>9688.0300000000007</v>
      </c>
    </row>
    <row r="1065" spans="4:5" x14ac:dyDescent="0.35">
      <c r="D1065">
        <v>4938</v>
      </c>
      <c r="E1065">
        <v>9667.2199999999993</v>
      </c>
    </row>
    <row r="1066" spans="4:5" x14ac:dyDescent="0.35">
      <c r="D1066">
        <v>4966</v>
      </c>
      <c r="E1066">
        <v>9643.2999999999993</v>
      </c>
    </row>
    <row r="1067" spans="4:5" x14ac:dyDescent="0.35">
      <c r="D1067">
        <v>5038</v>
      </c>
      <c r="E1067">
        <v>9586.32</v>
      </c>
    </row>
    <row r="1068" spans="4:5" x14ac:dyDescent="0.35">
      <c r="D1068">
        <v>3591</v>
      </c>
      <c r="E1068">
        <v>9568.3700000000008</v>
      </c>
    </row>
    <row r="1069" spans="4:5" x14ac:dyDescent="0.35">
      <c r="D1069">
        <v>4523</v>
      </c>
      <c r="E1069">
        <v>9563.94</v>
      </c>
    </row>
    <row r="1070" spans="4:5" x14ac:dyDescent="0.35">
      <c r="D1070">
        <v>4783</v>
      </c>
      <c r="E1070">
        <v>9439.98</v>
      </c>
    </row>
    <row r="1071" spans="4:5" x14ac:dyDescent="0.35">
      <c r="D1071">
        <v>4750</v>
      </c>
      <c r="E1071">
        <v>9435.18</v>
      </c>
    </row>
    <row r="1072" spans="4:5" x14ac:dyDescent="0.35">
      <c r="D1072">
        <v>3822</v>
      </c>
      <c r="E1072">
        <v>9432.66</v>
      </c>
    </row>
    <row r="1073" spans="4:5" x14ac:dyDescent="0.35">
      <c r="D1073">
        <v>4560</v>
      </c>
      <c r="E1073">
        <v>9422.42</v>
      </c>
    </row>
    <row r="1074" spans="4:5" x14ac:dyDescent="0.35">
      <c r="D1074">
        <v>4924</v>
      </c>
      <c r="E1074">
        <v>9388.1200000000008</v>
      </c>
    </row>
    <row r="1075" spans="4:5" x14ac:dyDescent="0.35">
      <c r="D1075">
        <v>4554</v>
      </c>
      <c r="E1075">
        <v>9378.65</v>
      </c>
    </row>
    <row r="1076" spans="4:5" x14ac:dyDescent="0.35">
      <c r="D1076">
        <v>4917</v>
      </c>
      <c r="E1076">
        <v>9351.57</v>
      </c>
    </row>
    <row r="1077" spans="4:5" x14ac:dyDescent="0.35">
      <c r="D1077">
        <v>4679</v>
      </c>
      <c r="E1077">
        <v>9336.42</v>
      </c>
    </row>
    <row r="1078" spans="4:5" x14ac:dyDescent="0.35">
      <c r="D1078">
        <v>4872</v>
      </c>
      <c r="E1078">
        <v>9333.51</v>
      </c>
    </row>
    <row r="1079" spans="4:5" x14ac:dyDescent="0.35">
      <c r="D1079">
        <v>4657</v>
      </c>
      <c r="E1079">
        <v>9322.56</v>
      </c>
    </row>
    <row r="1080" spans="4:5" x14ac:dyDescent="0.35">
      <c r="D1080">
        <v>4954</v>
      </c>
      <c r="E1080">
        <v>9307.59</v>
      </c>
    </row>
    <row r="1081" spans="4:5" x14ac:dyDescent="0.35">
      <c r="D1081">
        <v>4385</v>
      </c>
      <c r="E1081">
        <v>9306.01</v>
      </c>
    </row>
    <row r="1082" spans="4:5" x14ac:dyDescent="0.35">
      <c r="D1082">
        <v>4656</v>
      </c>
      <c r="E1082">
        <v>9265.4599999999991</v>
      </c>
    </row>
    <row r="1083" spans="4:5" x14ac:dyDescent="0.35">
      <c r="D1083">
        <v>4766</v>
      </c>
      <c r="E1083">
        <v>9228.84</v>
      </c>
    </row>
    <row r="1084" spans="4:5" x14ac:dyDescent="0.35">
      <c r="D1084">
        <v>4700</v>
      </c>
      <c r="E1084">
        <v>9204.17</v>
      </c>
    </row>
    <row r="1085" spans="4:5" x14ac:dyDescent="0.35">
      <c r="D1085">
        <v>4720</v>
      </c>
      <c r="E1085">
        <v>9140.64</v>
      </c>
    </row>
    <row r="1086" spans="4:5" x14ac:dyDescent="0.35">
      <c r="D1086">
        <v>4791</v>
      </c>
      <c r="E1086">
        <v>9114.84</v>
      </c>
    </row>
    <row r="1087" spans="4:5" x14ac:dyDescent="0.35">
      <c r="D1087">
        <v>4555</v>
      </c>
      <c r="E1087">
        <v>9086.2199999999993</v>
      </c>
    </row>
    <row r="1088" spans="4:5" x14ac:dyDescent="0.35">
      <c r="D1088">
        <v>4440</v>
      </c>
      <c r="E1088">
        <v>9085.16</v>
      </c>
    </row>
    <row r="1089" spans="4:5" x14ac:dyDescent="0.35">
      <c r="D1089">
        <v>4908</v>
      </c>
      <c r="E1089">
        <v>9079.77</v>
      </c>
    </row>
    <row r="1090" spans="4:5" x14ac:dyDescent="0.35">
      <c r="D1090">
        <v>4507</v>
      </c>
      <c r="E1090">
        <v>8980.6200000000008</v>
      </c>
    </row>
    <row r="1091" spans="4:5" x14ac:dyDescent="0.35">
      <c r="D1091">
        <v>4528</v>
      </c>
      <c r="E1091">
        <v>8910.02</v>
      </c>
    </row>
    <row r="1092" spans="4:5" x14ac:dyDescent="0.35">
      <c r="D1092">
        <v>4059</v>
      </c>
      <c r="E1092">
        <v>8900.9699999999993</v>
      </c>
    </row>
    <row r="1093" spans="4:5" x14ac:dyDescent="0.35">
      <c r="D1093">
        <v>4454</v>
      </c>
      <c r="E1093">
        <v>8874.4599999999991</v>
      </c>
    </row>
    <row r="1094" spans="4:5" x14ac:dyDescent="0.35">
      <c r="D1094">
        <v>4578</v>
      </c>
      <c r="E1094">
        <v>8874.31</v>
      </c>
    </row>
    <row r="1095" spans="4:5" x14ac:dyDescent="0.35">
      <c r="D1095">
        <v>4542</v>
      </c>
      <c r="E1095">
        <v>8790.48</v>
      </c>
    </row>
    <row r="1096" spans="4:5" x14ac:dyDescent="0.35">
      <c r="D1096">
        <v>4723</v>
      </c>
      <c r="E1096">
        <v>8776.56</v>
      </c>
    </row>
    <row r="1097" spans="4:5" x14ac:dyDescent="0.35">
      <c r="D1097">
        <v>4500</v>
      </c>
      <c r="E1097">
        <v>8716.14</v>
      </c>
    </row>
    <row r="1098" spans="4:5" x14ac:dyDescent="0.35">
      <c r="D1098">
        <v>4468</v>
      </c>
      <c r="E1098">
        <v>8691.19</v>
      </c>
    </row>
    <row r="1099" spans="4:5" x14ac:dyDescent="0.35">
      <c r="D1099">
        <v>4546</v>
      </c>
      <c r="E1099">
        <v>8652.8799999999992</v>
      </c>
    </row>
    <row r="1100" spans="4:5" x14ac:dyDescent="0.35">
      <c r="D1100">
        <v>4703</v>
      </c>
      <c r="E1100">
        <v>8635.14</v>
      </c>
    </row>
    <row r="1101" spans="4:5" x14ac:dyDescent="0.35">
      <c r="D1101">
        <v>4702</v>
      </c>
      <c r="E1101">
        <v>8535.42</v>
      </c>
    </row>
    <row r="1102" spans="4:5" x14ac:dyDescent="0.35">
      <c r="D1102">
        <v>4412</v>
      </c>
      <c r="E1102">
        <v>8533.83</v>
      </c>
    </row>
    <row r="1103" spans="4:5" x14ac:dyDescent="0.35">
      <c r="D1103">
        <v>4756</v>
      </c>
      <c r="E1103">
        <v>8516.52</v>
      </c>
    </row>
    <row r="1104" spans="4:5" x14ac:dyDescent="0.35">
      <c r="D1104">
        <v>3962</v>
      </c>
      <c r="E1104">
        <v>8498.1200000000008</v>
      </c>
    </row>
    <row r="1105" spans="4:5" x14ac:dyDescent="0.35">
      <c r="D1105">
        <v>4846</v>
      </c>
      <c r="E1105">
        <v>8494.11</v>
      </c>
    </row>
    <row r="1106" spans="4:5" x14ac:dyDescent="0.35">
      <c r="D1106">
        <v>4915</v>
      </c>
      <c r="E1106">
        <v>8480.39</v>
      </c>
    </row>
    <row r="1107" spans="4:5" x14ac:dyDescent="0.35">
      <c r="D1107">
        <v>4789</v>
      </c>
      <c r="E1107">
        <v>8480.16</v>
      </c>
    </row>
    <row r="1108" spans="4:5" x14ac:dyDescent="0.35">
      <c r="D1108">
        <v>4813</v>
      </c>
      <c r="E1108">
        <v>8439.31</v>
      </c>
    </row>
    <row r="1109" spans="4:5" x14ac:dyDescent="0.35">
      <c r="D1109">
        <v>4940</v>
      </c>
      <c r="E1109">
        <v>8426.91</v>
      </c>
    </row>
    <row r="1110" spans="4:5" x14ac:dyDescent="0.35">
      <c r="D1110">
        <v>4761</v>
      </c>
      <c r="E1110">
        <v>8332.26</v>
      </c>
    </row>
    <row r="1111" spans="4:5" x14ac:dyDescent="0.35">
      <c r="D1111">
        <v>4976</v>
      </c>
      <c r="E1111">
        <v>8308.02</v>
      </c>
    </row>
    <row r="1112" spans="4:5" x14ac:dyDescent="0.35">
      <c r="D1112">
        <v>5068</v>
      </c>
      <c r="E1112">
        <v>8281.31</v>
      </c>
    </row>
    <row r="1113" spans="4:5" x14ac:dyDescent="0.35">
      <c r="D1113">
        <v>4936</v>
      </c>
      <c r="E1113">
        <v>8259.4500000000007</v>
      </c>
    </row>
    <row r="1114" spans="4:5" x14ac:dyDescent="0.35">
      <c r="D1114">
        <v>4786</v>
      </c>
      <c r="E1114">
        <v>8254.9699999999993</v>
      </c>
    </row>
    <row r="1115" spans="4:5" x14ac:dyDescent="0.35">
      <c r="D1115">
        <v>4621</v>
      </c>
      <c r="E1115">
        <v>8229.02</v>
      </c>
    </row>
    <row r="1116" spans="4:5" x14ac:dyDescent="0.35">
      <c r="D1116">
        <v>4486</v>
      </c>
      <c r="E1116">
        <v>8204.86</v>
      </c>
    </row>
    <row r="1117" spans="4:5" x14ac:dyDescent="0.35">
      <c r="D1117">
        <v>4759</v>
      </c>
      <c r="E1117">
        <v>8037.66</v>
      </c>
    </row>
    <row r="1118" spans="4:5" x14ac:dyDescent="0.35">
      <c r="D1118">
        <v>4569</v>
      </c>
      <c r="E1118">
        <v>8004.66</v>
      </c>
    </row>
    <row r="1119" spans="4:5" x14ac:dyDescent="0.35">
      <c r="D1119">
        <v>5067</v>
      </c>
      <c r="E1119">
        <v>7982.46</v>
      </c>
    </row>
    <row r="1120" spans="4:5" x14ac:dyDescent="0.35">
      <c r="D1120">
        <v>3484</v>
      </c>
      <c r="E1120">
        <v>7907.09</v>
      </c>
    </row>
    <row r="1121" spans="4:5" x14ac:dyDescent="0.35">
      <c r="D1121">
        <v>4571</v>
      </c>
      <c r="E1121">
        <v>7891.8</v>
      </c>
    </row>
    <row r="1122" spans="4:5" x14ac:dyDescent="0.35">
      <c r="D1122">
        <v>4416</v>
      </c>
      <c r="E1122">
        <v>7884.05</v>
      </c>
    </row>
    <row r="1123" spans="4:5" x14ac:dyDescent="0.35">
      <c r="D1123">
        <v>4890</v>
      </c>
      <c r="E1123">
        <v>7879.15</v>
      </c>
    </row>
    <row r="1124" spans="4:5" x14ac:dyDescent="0.35">
      <c r="D1124">
        <v>4503</v>
      </c>
      <c r="E1124">
        <v>7786.14</v>
      </c>
    </row>
    <row r="1125" spans="4:5" x14ac:dyDescent="0.35">
      <c r="D1125">
        <v>4270</v>
      </c>
      <c r="E1125">
        <v>7782.96</v>
      </c>
    </row>
    <row r="1126" spans="4:5" x14ac:dyDescent="0.35">
      <c r="D1126">
        <v>3393</v>
      </c>
      <c r="E1126">
        <v>7775.49</v>
      </c>
    </row>
    <row r="1127" spans="4:5" x14ac:dyDescent="0.35">
      <c r="D1127">
        <v>4751</v>
      </c>
      <c r="E1127">
        <v>7734.36</v>
      </c>
    </row>
    <row r="1128" spans="4:5" x14ac:dyDescent="0.35">
      <c r="D1128">
        <v>4513</v>
      </c>
      <c r="E1128">
        <v>7711.44</v>
      </c>
    </row>
    <row r="1129" spans="4:5" x14ac:dyDescent="0.35">
      <c r="D1129">
        <v>5031</v>
      </c>
      <c r="E1129">
        <v>7699.19</v>
      </c>
    </row>
    <row r="1130" spans="4:5" x14ac:dyDescent="0.35">
      <c r="D1130">
        <v>4825</v>
      </c>
      <c r="E1130">
        <v>7657.56</v>
      </c>
    </row>
    <row r="1131" spans="4:5" x14ac:dyDescent="0.35">
      <c r="D1131">
        <v>4623</v>
      </c>
      <c r="E1131">
        <v>7651.98</v>
      </c>
    </row>
    <row r="1132" spans="4:5" x14ac:dyDescent="0.35">
      <c r="D1132">
        <v>3003</v>
      </c>
      <c r="E1132">
        <v>7646.2</v>
      </c>
    </row>
    <row r="1133" spans="4:5" x14ac:dyDescent="0.35">
      <c r="D1133">
        <v>5093</v>
      </c>
      <c r="E1133">
        <v>7641.18</v>
      </c>
    </row>
    <row r="1134" spans="4:5" x14ac:dyDescent="0.35">
      <c r="D1134">
        <v>4409</v>
      </c>
      <c r="E1134">
        <v>7622.63</v>
      </c>
    </row>
    <row r="1135" spans="4:5" x14ac:dyDescent="0.35">
      <c r="D1135">
        <v>4994</v>
      </c>
      <c r="E1135">
        <v>7601.44</v>
      </c>
    </row>
    <row r="1136" spans="4:5" x14ac:dyDescent="0.35">
      <c r="D1136">
        <v>3826</v>
      </c>
      <c r="E1136">
        <v>7577.64</v>
      </c>
    </row>
    <row r="1137" spans="4:5" x14ac:dyDescent="0.35">
      <c r="D1137">
        <v>5037</v>
      </c>
      <c r="E1137">
        <v>7561.63</v>
      </c>
    </row>
    <row r="1138" spans="4:5" x14ac:dyDescent="0.35">
      <c r="D1138">
        <v>3968</v>
      </c>
      <c r="E1138">
        <v>7529.2</v>
      </c>
    </row>
    <row r="1139" spans="4:5" x14ac:dyDescent="0.35">
      <c r="D1139">
        <v>4521</v>
      </c>
      <c r="E1139">
        <v>7525.99</v>
      </c>
    </row>
    <row r="1140" spans="4:5" x14ac:dyDescent="0.35">
      <c r="D1140">
        <v>4210</v>
      </c>
      <c r="E1140">
        <v>7442.16</v>
      </c>
    </row>
    <row r="1141" spans="4:5" x14ac:dyDescent="0.35">
      <c r="D1141">
        <v>3688</v>
      </c>
      <c r="E1141">
        <v>7416.42</v>
      </c>
    </row>
    <row r="1142" spans="4:5" x14ac:dyDescent="0.35">
      <c r="D1142">
        <v>5080</v>
      </c>
      <c r="E1142">
        <v>7386.69</v>
      </c>
    </row>
    <row r="1143" spans="4:5" x14ac:dyDescent="0.35">
      <c r="D1143">
        <v>4882</v>
      </c>
      <c r="E1143">
        <v>7359.76</v>
      </c>
    </row>
    <row r="1144" spans="4:5" x14ac:dyDescent="0.35">
      <c r="D1144">
        <v>4413</v>
      </c>
      <c r="E1144">
        <v>7352.04</v>
      </c>
    </row>
    <row r="1145" spans="4:5" x14ac:dyDescent="0.35">
      <c r="D1145">
        <v>4538</v>
      </c>
      <c r="E1145">
        <v>7327.56</v>
      </c>
    </row>
    <row r="1146" spans="4:5" x14ac:dyDescent="0.35">
      <c r="D1146">
        <v>4425</v>
      </c>
      <c r="E1146">
        <v>7321.35</v>
      </c>
    </row>
    <row r="1147" spans="4:5" x14ac:dyDescent="0.35">
      <c r="D1147">
        <v>4929</v>
      </c>
      <c r="E1147">
        <v>7225.14</v>
      </c>
    </row>
    <row r="1148" spans="4:5" x14ac:dyDescent="0.35">
      <c r="D1148">
        <v>4792</v>
      </c>
      <c r="E1148">
        <v>7216.08</v>
      </c>
    </row>
    <row r="1149" spans="4:5" x14ac:dyDescent="0.35">
      <c r="D1149">
        <v>5028</v>
      </c>
      <c r="E1149">
        <v>7195.32</v>
      </c>
    </row>
    <row r="1150" spans="4:5" x14ac:dyDescent="0.35">
      <c r="D1150">
        <v>4689</v>
      </c>
      <c r="E1150">
        <v>7186.62</v>
      </c>
    </row>
    <row r="1151" spans="4:5" x14ac:dyDescent="0.35">
      <c r="D1151">
        <v>4515</v>
      </c>
      <c r="E1151">
        <v>7162.08</v>
      </c>
    </row>
    <row r="1152" spans="4:5" x14ac:dyDescent="0.35">
      <c r="D1152">
        <v>5026</v>
      </c>
      <c r="E1152">
        <v>7153.82</v>
      </c>
    </row>
    <row r="1153" spans="4:5" x14ac:dyDescent="0.35">
      <c r="D1153">
        <v>4824</v>
      </c>
      <c r="E1153">
        <v>7076.84</v>
      </c>
    </row>
    <row r="1154" spans="4:5" x14ac:dyDescent="0.35">
      <c r="D1154">
        <v>5000</v>
      </c>
      <c r="E1154">
        <v>7045.76</v>
      </c>
    </row>
    <row r="1155" spans="4:5" x14ac:dyDescent="0.35">
      <c r="D1155">
        <v>4618</v>
      </c>
      <c r="E1155">
        <v>7028.52</v>
      </c>
    </row>
    <row r="1156" spans="4:5" x14ac:dyDescent="0.35">
      <c r="D1156">
        <v>3957</v>
      </c>
      <c r="E1156">
        <v>7027.77</v>
      </c>
    </row>
    <row r="1157" spans="4:5" x14ac:dyDescent="0.35">
      <c r="D1157">
        <v>5011</v>
      </c>
      <c r="E1157">
        <v>7027.42</v>
      </c>
    </row>
    <row r="1158" spans="4:5" x14ac:dyDescent="0.35">
      <c r="D1158">
        <v>4093</v>
      </c>
      <c r="E1158">
        <v>6963.31</v>
      </c>
    </row>
    <row r="1159" spans="4:5" x14ac:dyDescent="0.35">
      <c r="D1159">
        <v>4540</v>
      </c>
      <c r="E1159">
        <v>6956.32</v>
      </c>
    </row>
    <row r="1160" spans="4:5" x14ac:dyDescent="0.35">
      <c r="D1160">
        <v>4435</v>
      </c>
      <c r="E1160">
        <v>6943.86</v>
      </c>
    </row>
    <row r="1161" spans="4:5" x14ac:dyDescent="0.35">
      <c r="D1161">
        <v>4844</v>
      </c>
      <c r="E1161">
        <v>6929.37</v>
      </c>
    </row>
    <row r="1162" spans="4:5" x14ac:dyDescent="0.35">
      <c r="D1162">
        <v>4121</v>
      </c>
      <c r="E1162">
        <v>6699.68</v>
      </c>
    </row>
    <row r="1163" spans="4:5" x14ac:dyDescent="0.35">
      <c r="D1163">
        <v>4706</v>
      </c>
      <c r="E1163">
        <v>6579.96</v>
      </c>
    </row>
    <row r="1164" spans="4:5" x14ac:dyDescent="0.35">
      <c r="D1164">
        <v>4755</v>
      </c>
      <c r="E1164">
        <v>6571.26</v>
      </c>
    </row>
    <row r="1165" spans="4:5" x14ac:dyDescent="0.35">
      <c r="D1165">
        <v>4007</v>
      </c>
      <c r="E1165">
        <v>6514.64</v>
      </c>
    </row>
    <row r="1166" spans="4:5" x14ac:dyDescent="0.35">
      <c r="D1166">
        <v>4770</v>
      </c>
      <c r="E1166">
        <v>6505.58</v>
      </c>
    </row>
    <row r="1167" spans="4:5" x14ac:dyDescent="0.35">
      <c r="D1167">
        <v>4983</v>
      </c>
      <c r="E1167">
        <v>6488.05</v>
      </c>
    </row>
    <row r="1168" spans="4:5" x14ac:dyDescent="0.35">
      <c r="D1168">
        <v>4690</v>
      </c>
      <c r="E1168">
        <v>6413</v>
      </c>
    </row>
    <row r="1169" spans="4:5" x14ac:dyDescent="0.35">
      <c r="D1169">
        <v>4539</v>
      </c>
      <c r="E1169">
        <v>6395.93</v>
      </c>
    </row>
    <row r="1170" spans="4:5" x14ac:dyDescent="0.35">
      <c r="D1170">
        <v>4953</v>
      </c>
      <c r="E1170">
        <v>6377.28</v>
      </c>
    </row>
    <row r="1171" spans="4:5" x14ac:dyDescent="0.35">
      <c r="D1171">
        <v>4591</v>
      </c>
      <c r="E1171">
        <v>6376.44</v>
      </c>
    </row>
    <row r="1172" spans="4:5" x14ac:dyDescent="0.35">
      <c r="D1172">
        <v>4865</v>
      </c>
      <c r="E1172">
        <v>6269.95</v>
      </c>
    </row>
    <row r="1173" spans="4:5" x14ac:dyDescent="0.35">
      <c r="D1173">
        <v>4746</v>
      </c>
      <c r="E1173">
        <v>6238.74</v>
      </c>
    </row>
    <row r="1174" spans="4:5" x14ac:dyDescent="0.35">
      <c r="D1174">
        <v>4951</v>
      </c>
      <c r="E1174">
        <v>6177.95</v>
      </c>
    </row>
    <row r="1175" spans="4:5" x14ac:dyDescent="0.35">
      <c r="D1175">
        <v>4782</v>
      </c>
      <c r="E1175">
        <v>6166.32</v>
      </c>
    </row>
    <row r="1176" spans="4:5" x14ac:dyDescent="0.35">
      <c r="D1176">
        <v>4701</v>
      </c>
      <c r="E1176">
        <v>6153.21</v>
      </c>
    </row>
    <row r="1177" spans="4:5" x14ac:dyDescent="0.35">
      <c r="D1177">
        <v>4991</v>
      </c>
      <c r="E1177">
        <v>6142.44</v>
      </c>
    </row>
    <row r="1178" spans="4:5" x14ac:dyDescent="0.35">
      <c r="D1178">
        <v>9001</v>
      </c>
      <c r="E1178">
        <v>6088.68</v>
      </c>
    </row>
    <row r="1179" spans="4:5" x14ac:dyDescent="0.35">
      <c r="D1179">
        <v>4659</v>
      </c>
      <c r="E1179">
        <v>6033.84</v>
      </c>
    </row>
    <row r="1180" spans="4:5" x14ac:dyDescent="0.35">
      <c r="D1180">
        <v>4498</v>
      </c>
      <c r="E1180">
        <v>5981.4</v>
      </c>
    </row>
    <row r="1181" spans="4:5" x14ac:dyDescent="0.35">
      <c r="D1181">
        <v>4714</v>
      </c>
      <c r="E1181">
        <v>5927.94</v>
      </c>
    </row>
    <row r="1182" spans="4:5" x14ac:dyDescent="0.35">
      <c r="D1182">
        <v>4499</v>
      </c>
      <c r="E1182">
        <v>5913.48</v>
      </c>
    </row>
    <row r="1183" spans="4:5" x14ac:dyDescent="0.35">
      <c r="D1183">
        <v>4849</v>
      </c>
      <c r="E1183">
        <v>5828.52</v>
      </c>
    </row>
    <row r="1184" spans="4:5" x14ac:dyDescent="0.35">
      <c r="D1184">
        <v>4643</v>
      </c>
      <c r="E1184">
        <v>5758.98</v>
      </c>
    </row>
    <row r="1185" spans="4:5" x14ac:dyDescent="0.35">
      <c r="D1185">
        <v>4754</v>
      </c>
      <c r="E1185">
        <v>5726.94</v>
      </c>
    </row>
    <row r="1186" spans="4:5" x14ac:dyDescent="0.35">
      <c r="D1186">
        <v>4944</v>
      </c>
      <c r="E1186">
        <v>5710.39</v>
      </c>
    </row>
    <row r="1187" spans="4:5" x14ac:dyDescent="0.35">
      <c r="D1187">
        <v>5021</v>
      </c>
      <c r="E1187">
        <v>5688.47</v>
      </c>
    </row>
    <row r="1188" spans="4:5" x14ac:dyDescent="0.35">
      <c r="D1188">
        <v>4541</v>
      </c>
      <c r="E1188">
        <v>5681.76</v>
      </c>
    </row>
    <row r="1189" spans="4:5" x14ac:dyDescent="0.35">
      <c r="D1189">
        <v>4529</v>
      </c>
      <c r="E1189">
        <v>5668.98</v>
      </c>
    </row>
    <row r="1190" spans="4:5" x14ac:dyDescent="0.35">
      <c r="D1190">
        <v>5013</v>
      </c>
      <c r="E1190">
        <v>5647.22</v>
      </c>
    </row>
    <row r="1191" spans="4:5" x14ac:dyDescent="0.35">
      <c r="D1191">
        <v>2668</v>
      </c>
      <c r="E1191">
        <v>5634.79</v>
      </c>
    </row>
    <row r="1192" spans="4:5" x14ac:dyDescent="0.35">
      <c r="D1192">
        <v>4957</v>
      </c>
      <c r="E1192">
        <v>5626.65</v>
      </c>
    </row>
    <row r="1193" spans="4:5" x14ac:dyDescent="0.35">
      <c r="D1193">
        <v>5045</v>
      </c>
      <c r="E1193">
        <v>5622.23</v>
      </c>
    </row>
    <row r="1194" spans="4:5" x14ac:dyDescent="0.35">
      <c r="D1194">
        <v>4930</v>
      </c>
      <c r="E1194">
        <v>5563.28</v>
      </c>
    </row>
    <row r="1195" spans="4:5" x14ac:dyDescent="0.35">
      <c r="D1195">
        <v>4544</v>
      </c>
      <c r="E1195">
        <v>5552.7</v>
      </c>
    </row>
    <row r="1196" spans="4:5" x14ac:dyDescent="0.35">
      <c r="D1196">
        <v>4937</v>
      </c>
      <c r="E1196">
        <v>5531.34</v>
      </c>
    </row>
    <row r="1197" spans="4:5" x14ac:dyDescent="0.35">
      <c r="D1197">
        <v>4831</v>
      </c>
      <c r="E1197">
        <v>5493.29</v>
      </c>
    </row>
    <row r="1198" spans="4:5" x14ac:dyDescent="0.35">
      <c r="D1198">
        <v>4961</v>
      </c>
      <c r="E1198">
        <v>5391.32</v>
      </c>
    </row>
    <row r="1199" spans="4:5" x14ac:dyDescent="0.35">
      <c r="D1199">
        <v>5057</v>
      </c>
      <c r="E1199">
        <v>5360.77</v>
      </c>
    </row>
    <row r="1200" spans="4:5" x14ac:dyDescent="0.35">
      <c r="D1200">
        <v>4716</v>
      </c>
      <c r="E1200">
        <v>5353.08</v>
      </c>
    </row>
    <row r="1201" spans="4:5" x14ac:dyDescent="0.35">
      <c r="D1201">
        <v>4781</v>
      </c>
      <c r="E1201">
        <v>5336.22</v>
      </c>
    </row>
    <row r="1202" spans="4:5" x14ac:dyDescent="0.35">
      <c r="D1202">
        <v>4497</v>
      </c>
      <c r="E1202">
        <v>5282.28</v>
      </c>
    </row>
    <row r="1203" spans="4:5" x14ac:dyDescent="0.35">
      <c r="D1203">
        <v>4691</v>
      </c>
      <c r="E1203">
        <v>5277.52</v>
      </c>
    </row>
    <row r="1204" spans="4:5" x14ac:dyDescent="0.35">
      <c r="D1204">
        <v>5047</v>
      </c>
      <c r="E1204">
        <v>5239.5600000000004</v>
      </c>
    </row>
    <row r="1205" spans="4:5" x14ac:dyDescent="0.35">
      <c r="D1205">
        <v>4739</v>
      </c>
      <c r="E1205">
        <v>5212.9799999999996</v>
      </c>
    </row>
    <row r="1206" spans="4:5" x14ac:dyDescent="0.35">
      <c r="D1206">
        <v>4933</v>
      </c>
      <c r="E1206">
        <v>5211.22</v>
      </c>
    </row>
    <row r="1207" spans="4:5" x14ac:dyDescent="0.35">
      <c r="D1207">
        <v>4664</v>
      </c>
      <c r="E1207">
        <v>5201.87</v>
      </c>
    </row>
    <row r="1208" spans="4:5" x14ac:dyDescent="0.35">
      <c r="D1208">
        <v>3969</v>
      </c>
      <c r="E1208">
        <v>5180.33</v>
      </c>
    </row>
    <row r="1209" spans="4:5" x14ac:dyDescent="0.35">
      <c r="D1209">
        <v>4943</v>
      </c>
      <c r="E1209">
        <v>5167.6000000000004</v>
      </c>
    </row>
    <row r="1210" spans="4:5" x14ac:dyDescent="0.35">
      <c r="D1210">
        <v>5014</v>
      </c>
      <c r="E1210">
        <v>5120.1000000000004</v>
      </c>
    </row>
    <row r="1211" spans="4:5" x14ac:dyDescent="0.35">
      <c r="D1211">
        <v>5097</v>
      </c>
      <c r="E1211">
        <v>5098.68</v>
      </c>
    </row>
    <row r="1212" spans="4:5" x14ac:dyDescent="0.35">
      <c r="D1212">
        <v>4948</v>
      </c>
      <c r="E1212">
        <v>5074.34</v>
      </c>
    </row>
    <row r="1213" spans="4:5" x14ac:dyDescent="0.35">
      <c r="D1213">
        <v>4592</v>
      </c>
      <c r="E1213">
        <v>5021.7299999999996</v>
      </c>
    </row>
    <row r="1214" spans="4:5" x14ac:dyDescent="0.35">
      <c r="D1214">
        <v>4977</v>
      </c>
      <c r="E1214">
        <v>5014.55</v>
      </c>
    </row>
    <row r="1215" spans="4:5" x14ac:dyDescent="0.35">
      <c r="D1215">
        <v>5025</v>
      </c>
      <c r="E1215">
        <v>4904.04</v>
      </c>
    </row>
    <row r="1216" spans="4:5" x14ac:dyDescent="0.35">
      <c r="D1216">
        <v>4531</v>
      </c>
      <c r="E1216">
        <v>4870.8599999999997</v>
      </c>
    </row>
    <row r="1217" spans="4:5" x14ac:dyDescent="0.35">
      <c r="D1217">
        <v>4338</v>
      </c>
      <c r="E1217">
        <v>4830.96</v>
      </c>
    </row>
    <row r="1218" spans="4:5" x14ac:dyDescent="0.35">
      <c r="D1218">
        <v>5020</v>
      </c>
      <c r="E1218">
        <v>4808.74</v>
      </c>
    </row>
    <row r="1219" spans="4:5" x14ac:dyDescent="0.35">
      <c r="D1219">
        <v>5012</v>
      </c>
      <c r="E1219">
        <v>4790.03</v>
      </c>
    </row>
    <row r="1220" spans="4:5" x14ac:dyDescent="0.35">
      <c r="D1220">
        <v>2669</v>
      </c>
      <c r="E1220">
        <v>4746.1000000000004</v>
      </c>
    </row>
    <row r="1221" spans="4:5" x14ac:dyDescent="0.35">
      <c r="D1221">
        <v>5009</v>
      </c>
      <c r="E1221">
        <v>4655.82</v>
      </c>
    </row>
    <row r="1222" spans="4:5" x14ac:dyDescent="0.35">
      <c r="D1222">
        <v>4838</v>
      </c>
      <c r="E1222">
        <v>4563.3</v>
      </c>
    </row>
    <row r="1223" spans="4:5" x14ac:dyDescent="0.35">
      <c r="D1223">
        <v>4548</v>
      </c>
      <c r="E1223">
        <v>4463.6400000000003</v>
      </c>
    </row>
    <row r="1224" spans="4:5" x14ac:dyDescent="0.35">
      <c r="D1224">
        <v>4981</v>
      </c>
      <c r="E1224">
        <v>4455.84</v>
      </c>
    </row>
    <row r="1225" spans="4:5" x14ac:dyDescent="0.35">
      <c r="D1225">
        <v>4646</v>
      </c>
      <c r="E1225">
        <v>4440.0600000000004</v>
      </c>
    </row>
    <row r="1226" spans="4:5" x14ac:dyDescent="0.35">
      <c r="D1226">
        <v>4817</v>
      </c>
      <c r="E1226">
        <v>4386.42</v>
      </c>
    </row>
    <row r="1227" spans="4:5" x14ac:dyDescent="0.35">
      <c r="D1227">
        <v>4567</v>
      </c>
      <c r="E1227">
        <v>4374.9399999999996</v>
      </c>
    </row>
    <row r="1228" spans="4:5" x14ac:dyDescent="0.35">
      <c r="D1228">
        <v>4980</v>
      </c>
      <c r="E1228">
        <v>4334.1000000000004</v>
      </c>
    </row>
    <row r="1229" spans="4:5" x14ac:dyDescent="0.35">
      <c r="D1229">
        <v>4707</v>
      </c>
      <c r="E1229">
        <v>4285.5600000000004</v>
      </c>
    </row>
    <row r="1230" spans="4:5" x14ac:dyDescent="0.35">
      <c r="D1230">
        <v>4880</v>
      </c>
      <c r="E1230">
        <v>4254.84</v>
      </c>
    </row>
    <row r="1231" spans="4:5" x14ac:dyDescent="0.35">
      <c r="D1231">
        <v>4857</v>
      </c>
      <c r="E1231">
        <v>4197.21</v>
      </c>
    </row>
    <row r="1232" spans="4:5" x14ac:dyDescent="0.35">
      <c r="D1232">
        <v>5060</v>
      </c>
      <c r="E1232">
        <v>4181.7700000000004</v>
      </c>
    </row>
    <row r="1233" spans="4:5" x14ac:dyDescent="0.35">
      <c r="D1233">
        <v>4607</v>
      </c>
      <c r="E1233">
        <v>4139.28</v>
      </c>
    </row>
    <row r="1234" spans="4:5" x14ac:dyDescent="0.35">
      <c r="D1234">
        <v>3652</v>
      </c>
      <c r="E1234">
        <v>4119.3</v>
      </c>
    </row>
    <row r="1235" spans="4:5" x14ac:dyDescent="0.35">
      <c r="D1235">
        <v>3798</v>
      </c>
      <c r="E1235">
        <v>4115.9399999999996</v>
      </c>
    </row>
    <row r="1236" spans="4:5" x14ac:dyDescent="0.35">
      <c r="D1236">
        <v>4896</v>
      </c>
      <c r="E1236">
        <v>4108.1899999999996</v>
      </c>
    </row>
    <row r="1237" spans="4:5" x14ac:dyDescent="0.35">
      <c r="D1237">
        <v>5085</v>
      </c>
      <c r="E1237">
        <v>4089.84</v>
      </c>
    </row>
    <row r="1238" spans="4:5" x14ac:dyDescent="0.35">
      <c r="D1238">
        <v>5058</v>
      </c>
      <c r="E1238">
        <v>4061.28</v>
      </c>
    </row>
    <row r="1239" spans="4:5" x14ac:dyDescent="0.35">
      <c r="D1239">
        <v>4532</v>
      </c>
      <c r="E1239">
        <v>4012.32</v>
      </c>
    </row>
    <row r="1240" spans="4:5" x14ac:dyDescent="0.35">
      <c r="D1240">
        <v>4906</v>
      </c>
      <c r="E1240">
        <v>3989.04</v>
      </c>
    </row>
    <row r="1241" spans="4:5" x14ac:dyDescent="0.35">
      <c r="D1241">
        <v>4627</v>
      </c>
      <c r="E1241">
        <v>3885.78</v>
      </c>
    </row>
    <row r="1242" spans="4:5" x14ac:dyDescent="0.35">
      <c r="D1242">
        <v>4923</v>
      </c>
      <c r="E1242">
        <v>3850.44</v>
      </c>
    </row>
    <row r="1243" spans="4:5" x14ac:dyDescent="0.35">
      <c r="D1243">
        <v>5049</v>
      </c>
      <c r="E1243">
        <v>3832.35</v>
      </c>
    </row>
    <row r="1244" spans="4:5" x14ac:dyDescent="0.35">
      <c r="D1244">
        <v>2498</v>
      </c>
      <c r="E1244">
        <v>3752.39</v>
      </c>
    </row>
    <row r="1245" spans="4:5" x14ac:dyDescent="0.35">
      <c r="D1245">
        <v>4999</v>
      </c>
      <c r="E1245">
        <v>3728.11</v>
      </c>
    </row>
    <row r="1246" spans="4:5" x14ac:dyDescent="0.35">
      <c r="D1246">
        <v>4776</v>
      </c>
      <c r="E1246">
        <v>3657.5</v>
      </c>
    </row>
    <row r="1247" spans="4:5" x14ac:dyDescent="0.35">
      <c r="D1247">
        <v>4946</v>
      </c>
      <c r="E1247">
        <v>3645.56</v>
      </c>
    </row>
    <row r="1248" spans="4:5" x14ac:dyDescent="0.35">
      <c r="D1248">
        <v>4753</v>
      </c>
      <c r="E1248">
        <v>3638.76</v>
      </c>
    </row>
    <row r="1249" spans="4:5" x14ac:dyDescent="0.35">
      <c r="D1249">
        <v>4855</v>
      </c>
      <c r="E1249">
        <v>3605.76</v>
      </c>
    </row>
    <row r="1250" spans="4:5" x14ac:dyDescent="0.35">
      <c r="D1250">
        <v>4632</v>
      </c>
      <c r="E1250">
        <v>3531.52</v>
      </c>
    </row>
    <row r="1251" spans="4:5" x14ac:dyDescent="0.35">
      <c r="D1251">
        <v>4793</v>
      </c>
      <c r="E1251">
        <v>3521.17</v>
      </c>
    </row>
    <row r="1252" spans="4:5" x14ac:dyDescent="0.35">
      <c r="D1252">
        <v>5098</v>
      </c>
      <c r="E1252">
        <v>3491.99</v>
      </c>
    </row>
    <row r="1253" spans="4:5" x14ac:dyDescent="0.35">
      <c r="D1253">
        <v>3582</v>
      </c>
      <c r="E1253">
        <v>3471.81</v>
      </c>
    </row>
    <row r="1254" spans="4:5" x14ac:dyDescent="0.35">
      <c r="D1254">
        <v>4985</v>
      </c>
      <c r="E1254">
        <v>3453.24</v>
      </c>
    </row>
    <row r="1255" spans="4:5" x14ac:dyDescent="0.35">
      <c r="D1255">
        <v>4336</v>
      </c>
      <c r="E1255">
        <v>3371.71</v>
      </c>
    </row>
    <row r="1256" spans="4:5" x14ac:dyDescent="0.35">
      <c r="D1256">
        <v>5071</v>
      </c>
      <c r="E1256">
        <v>3344.8</v>
      </c>
    </row>
    <row r="1257" spans="4:5" x14ac:dyDescent="0.35">
      <c r="D1257">
        <v>3845</v>
      </c>
      <c r="E1257">
        <v>3333</v>
      </c>
    </row>
    <row r="1258" spans="4:5" x14ac:dyDescent="0.35">
      <c r="D1258">
        <v>4325</v>
      </c>
      <c r="E1258">
        <v>3317.76</v>
      </c>
    </row>
    <row r="1259" spans="4:5" x14ac:dyDescent="0.35">
      <c r="D1259">
        <v>5092</v>
      </c>
      <c r="E1259">
        <v>3239.12</v>
      </c>
    </row>
    <row r="1260" spans="4:5" x14ac:dyDescent="0.35">
      <c r="D1260">
        <v>4858</v>
      </c>
      <c r="E1260">
        <v>3238.74</v>
      </c>
    </row>
    <row r="1261" spans="4:5" x14ac:dyDescent="0.35">
      <c r="D1261">
        <v>4610</v>
      </c>
      <c r="E1261">
        <v>3219.6</v>
      </c>
    </row>
    <row r="1262" spans="4:5" x14ac:dyDescent="0.35">
      <c r="D1262">
        <v>4221</v>
      </c>
      <c r="E1262">
        <v>3196.48</v>
      </c>
    </row>
    <row r="1263" spans="4:5" x14ac:dyDescent="0.35">
      <c r="D1263">
        <v>4672</v>
      </c>
      <c r="E1263">
        <v>3113.17</v>
      </c>
    </row>
    <row r="1264" spans="4:5" x14ac:dyDescent="0.35">
      <c r="D1264">
        <v>4968</v>
      </c>
      <c r="E1264">
        <v>3106.99</v>
      </c>
    </row>
    <row r="1265" spans="4:5" x14ac:dyDescent="0.35">
      <c r="D1265">
        <v>5039</v>
      </c>
      <c r="E1265">
        <v>3042.78</v>
      </c>
    </row>
    <row r="1266" spans="4:5" x14ac:dyDescent="0.35">
      <c r="D1266">
        <v>5019</v>
      </c>
      <c r="E1266">
        <v>3013.61</v>
      </c>
    </row>
    <row r="1267" spans="4:5" x14ac:dyDescent="0.35">
      <c r="D1267">
        <v>4989</v>
      </c>
      <c r="E1267">
        <v>2973.82</v>
      </c>
    </row>
    <row r="1268" spans="4:5" x14ac:dyDescent="0.35">
      <c r="D1268">
        <v>4563</v>
      </c>
      <c r="E1268">
        <v>2933.74</v>
      </c>
    </row>
    <row r="1269" spans="4:5" x14ac:dyDescent="0.35">
      <c r="D1269">
        <v>3534</v>
      </c>
      <c r="E1269">
        <v>2856.66</v>
      </c>
    </row>
    <row r="1270" spans="4:5" x14ac:dyDescent="0.35">
      <c r="D1270">
        <v>4335</v>
      </c>
      <c r="E1270">
        <v>2845.93</v>
      </c>
    </row>
    <row r="1271" spans="4:5" x14ac:dyDescent="0.35">
      <c r="D1271">
        <v>5084</v>
      </c>
      <c r="E1271">
        <v>2825.34</v>
      </c>
    </row>
    <row r="1272" spans="4:5" x14ac:dyDescent="0.35">
      <c r="D1272">
        <v>4982</v>
      </c>
      <c r="E1272">
        <v>2812.74</v>
      </c>
    </row>
    <row r="1273" spans="4:5" x14ac:dyDescent="0.35">
      <c r="D1273">
        <v>5096</v>
      </c>
      <c r="E1273">
        <v>2762.36</v>
      </c>
    </row>
    <row r="1274" spans="4:5" x14ac:dyDescent="0.35">
      <c r="D1274">
        <v>5070</v>
      </c>
      <c r="E1274">
        <v>2743.86</v>
      </c>
    </row>
    <row r="1275" spans="4:5" x14ac:dyDescent="0.35">
      <c r="D1275">
        <v>4996</v>
      </c>
      <c r="E1275">
        <v>2737.87</v>
      </c>
    </row>
    <row r="1276" spans="4:5" x14ac:dyDescent="0.35">
      <c r="D1276">
        <v>5046</v>
      </c>
      <c r="E1276">
        <v>2737.27</v>
      </c>
    </row>
    <row r="1277" spans="4:5" x14ac:dyDescent="0.35">
      <c r="D1277">
        <v>5066</v>
      </c>
      <c r="E1277">
        <v>2713.2</v>
      </c>
    </row>
    <row r="1278" spans="4:5" x14ac:dyDescent="0.35">
      <c r="D1278">
        <v>4990</v>
      </c>
      <c r="E1278">
        <v>2703.65</v>
      </c>
    </row>
    <row r="1279" spans="4:5" x14ac:dyDescent="0.35">
      <c r="D1279">
        <v>4095</v>
      </c>
      <c r="E1279">
        <v>2693.44</v>
      </c>
    </row>
    <row r="1280" spans="4:5" x14ac:dyDescent="0.35">
      <c r="D1280">
        <v>4784</v>
      </c>
      <c r="E1280">
        <v>2649.72</v>
      </c>
    </row>
    <row r="1281" spans="4:5" x14ac:dyDescent="0.35">
      <c r="D1281">
        <v>5024</v>
      </c>
      <c r="E1281">
        <v>2507.7600000000002</v>
      </c>
    </row>
    <row r="1282" spans="4:5" x14ac:dyDescent="0.35">
      <c r="D1282">
        <v>4693</v>
      </c>
      <c r="E1282">
        <v>2506.3200000000002</v>
      </c>
    </row>
    <row r="1283" spans="4:5" x14ac:dyDescent="0.35">
      <c r="D1283">
        <v>4790</v>
      </c>
      <c r="E1283">
        <v>2497.8200000000002</v>
      </c>
    </row>
    <row r="1284" spans="4:5" x14ac:dyDescent="0.35">
      <c r="D1284">
        <v>4737</v>
      </c>
      <c r="E1284">
        <v>2491.5</v>
      </c>
    </row>
    <row r="1285" spans="4:5" x14ac:dyDescent="0.35">
      <c r="D1285">
        <v>5090</v>
      </c>
      <c r="E1285">
        <v>2422.0500000000002</v>
      </c>
    </row>
    <row r="1286" spans="4:5" x14ac:dyDescent="0.35">
      <c r="D1286">
        <v>5033</v>
      </c>
      <c r="E1286">
        <v>2403.62</v>
      </c>
    </row>
    <row r="1287" spans="4:5" x14ac:dyDescent="0.35">
      <c r="D1287">
        <v>5040</v>
      </c>
      <c r="E1287">
        <v>2381.7399999999998</v>
      </c>
    </row>
    <row r="1288" spans="4:5" x14ac:dyDescent="0.35">
      <c r="D1288">
        <v>5065</v>
      </c>
      <c r="E1288">
        <v>2353.39</v>
      </c>
    </row>
    <row r="1289" spans="4:5" x14ac:dyDescent="0.35">
      <c r="D1289">
        <v>4573</v>
      </c>
      <c r="E1289">
        <v>2340.3000000000002</v>
      </c>
    </row>
    <row r="1290" spans="4:5" x14ac:dyDescent="0.35">
      <c r="D1290">
        <v>4779</v>
      </c>
      <c r="E1290">
        <v>2300.2199999999998</v>
      </c>
    </row>
    <row r="1291" spans="4:5" x14ac:dyDescent="0.35">
      <c r="D1291">
        <v>5088</v>
      </c>
      <c r="E1291">
        <v>2196.69</v>
      </c>
    </row>
    <row r="1292" spans="4:5" x14ac:dyDescent="0.35">
      <c r="D1292">
        <v>5023</v>
      </c>
      <c r="E1292">
        <v>2130.7199999999998</v>
      </c>
    </row>
    <row r="1293" spans="4:5" x14ac:dyDescent="0.35">
      <c r="D1293">
        <v>5091</v>
      </c>
      <c r="E1293">
        <v>2053.46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C9540-87F9-4599-9614-FD620C67668D}">
  <dimension ref="A1:C11"/>
  <sheetViews>
    <sheetView workbookViewId="0">
      <selection activeCell="K9" sqref="K9"/>
    </sheetView>
  </sheetViews>
  <sheetFormatPr defaultRowHeight="14.5" x14ac:dyDescent="0.35"/>
  <cols>
    <col min="1" max="1" width="13.1796875" bestFit="1" customWidth="1"/>
    <col min="2" max="2" width="10.1796875" bestFit="1" customWidth="1"/>
    <col min="3" max="3" width="17.7265625" bestFit="1" customWidth="1"/>
  </cols>
  <sheetData>
    <row r="1" spans="1:3" x14ac:dyDescent="0.35">
      <c r="A1" t="s">
        <v>24</v>
      </c>
      <c r="B1" t="s">
        <v>59</v>
      </c>
      <c r="C1" t="s">
        <v>13</v>
      </c>
    </row>
    <row r="2" spans="1:3" x14ac:dyDescent="0.35">
      <c r="A2" t="s">
        <v>25</v>
      </c>
      <c r="B2">
        <v>430640</v>
      </c>
      <c r="C2">
        <v>23272062.609999999</v>
      </c>
    </row>
    <row r="3" spans="1:3" x14ac:dyDescent="0.35">
      <c r="A3" t="s">
        <v>26</v>
      </c>
      <c r="B3">
        <v>211226</v>
      </c>
      <c r="C3">
        <v>8565428.0899999999</v>
      </c>
    </row>
    <row r="4" spans="1:3" x14ac:dyDescent="0.35">
      <c r="A4" t="s">
        <v>27</v>
      </c>
      <c r="B4">
        <v>165224</v>
      </c>
      <c r="C4">
        <v>7297544.6699999999</v>
      </c>
    </row>
    <row r="5" spans="1:3" x14ac:dyDescent="0.35">
      <c r="A5" t="s">
        <v>28</v>
      </c>
      <c r="B5">
        <v>130882</v>
      </c>
      <c r="C5">
        <v>6481021.0499999998</v>
      </c>
    </row>
    <row r="6" spans="1:3" x14ac:dyDescent="0.35">
      <c r="A6" t="s">
        <v>29</v>
      </c>
      <c r="B6">
        <v>131090</v>
      </c>
      <c r="C6">
        <v>5498016.6299999999</v>
      </c>
    </row>
    <row r="7" spans="1:3" x14ac:dyDescent="0.35">
      <c r="A7" t="s">
        <v>30</v>
      </c>
      <c r="B7">
        <v>93158</v>
      </c>
      <c r="C7">
        <v>2997483.73</v>
      </c>
    </row>
    <row r="8" spans="1:3" x14ac:dyDescent="0.35">
      <c r="A8" t="s">
        <v>31</v>
      </c>
      <c r="B8">
        <v>93653</v>
      </c>
      <c r="C8">
        <v>2927678.11</v>
      </c>
    </row>
    <row r="9" spans="1:3" x14ac:dyDescent="0.35">
      <c r="A9" t="s">
        <v>32</v>
      </c>
      <c r="B9">
        <v>89542</v>
      </c>
      <c r="C9">
        <v>2895422.9</v>
      </c>
    </row>
    <row r="10" spans="1:3" x14ac:dyDescent="0.35">
      <c r="A10" t="s">
        <v>33</v>
      </c>
      <c r="B10">
        <v>102172</v>
      </c>
      <c r="C10">
        <v>2688645.4</v>
      </c>
    </row>
    <row r="11" spans="1:3" x14ac:dyDescent="0.35">
      <c r="A11" t="s">
        <v>34</v>
      </c>
      <c r="B11">
        <v>66135</v>
      </c>
      <c r="C11">
        <v>2022638.16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23B168-91B9-4CBF-B132-E3A732AA71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Q5. Top Products by Trans Count</vt:lpstr>
      <vt:lpstr>Q7. Top Revenue by Vendor</vt:lpstr>
      <vt:lpstr>Q13. Total sales by county</vt:lpstr>
      <vt:lpstr>Q14. Revenue by pack size</vt:lpstr>
      <vt:lpstr>Q6 - Best vs Worst</vt:lpstr>
      <vt:lpstr>Q8 (Stores Over $2K) (2)</vt:lpstr>
      <vt:lpstr>Revenue vs 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Godknows Mutize</dc:creator>
  <cp:lastModifiedBy>Godknows Mutize</cp:lastModifiedBy>
  <dcterms:created xsi:type="dcterms:W3CDTF">2026-04-30T21:36:25Z</dcterms:created>
  <dcterms:modified xsi:type="dcterms:W3CDTF">2026-04-30T21:36:25Z</dcterms:modified>
</cp:coreProperties>
</file>